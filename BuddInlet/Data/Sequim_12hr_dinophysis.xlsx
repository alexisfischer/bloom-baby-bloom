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de" sheetId="1" r:id="rId4"/>
    <sheet state="visible" name="CTD" sheetId="2" r:id="rId5"/>
    <sheet state="visible" name="cells" sheetId="3" r:id="rId6"/>
    <sheet state="visible" name="rawcells" sheetId="4" r:id="rId7"/>
  </sheets>
  <definedNames/>
  <calcPr/>
  <extLst>
    <ext uri="GoogleSheetsCustomDataVersion2">
      <go:sheetsCustomData xmlns:go="http://customooxmlschemas.google.com/" r:id="rId8" roundtripDataChecksum="9k6lHmBNw3CgR9TLLKcADjgxhE+LYa+y2ylD1fDJtQE="/>
    </ext>
  </extLst>
</workbook>
</file>

<file path=xl/sharedStrings.xml><?xml version="1.0" encoding="utf-8"?>
<sst xmlns="http://schemas.openxmlformats.org/spreadsheetml/2006/main" count="149" uniqueCount="140">
  <si>
    <t>Date</t>
  </si>
  <si>
    <t>rawtime</t>
  </si>
  <si>
    <t>Time</t>
  </si>
  <si>
    <t>dt</t>
  </si>
  <si>
    <t>Height  (ft)</t>
  </si>
  <si>
    <t>Height (m)</t>
  </si>
  <si>
    <t xml:space="preserve"> 6:00a</t>
  </si>
  <si>
    <t xml:space="preserve"> 6:10a</t>
  </si>
  <si>
    <t xml:space="preserve"> 6:20a</t>
  </si>
  <si>
    <t xml:space="preserve"> 6:30a</t>
  </si>
  <si>
    <t xml:space="preserve"> 6:40a</t>
  </si>
  <si>
    <t xml:space="preserve"> 6:50a</t>
  </si>
  <si>
    <t xml:space="preserve"> 7:00a</t>
  </si>
  <si>
    <t xml:space="preserve"> 7:10a</t>
  </si>
  <si>
    <t xml:space="preserve"> 7:20a</t>
  </si>
  <si>
    <t xml:space="preserve"> 7:30a</t>
  </si>
  <si>
    <t xml:space="preserve"> 7:40a</t>
  </si>
  <si>
    <t xml:space="preserve"> 7:50a</t>
  </si>
  <si>
    <t xml:space="preserve"> 8:00a</t>
  </si>
  <si>
    <t xml:space="preserve"> 8:10a</t>
  </si>
  <si>
    <t xml:space="preserve"> 8:20a</t>
  </si>
  <si>
    <t xml:space="preserve"> 8:30a</t>
  </si>
  <si>
    <t xml:space="preserve"> 8:40a</t>
  </si>
  <si>
    <t xml:space="preserve"> 8:50a</t>
  </si>
  <si>
    <t xml:space="preserve"> 9:00a</t>
  </si>
  <si>
    <t xml:space="preserve"> 9:10a</t>
  </si>
  <si>
    <t xml:space="preserve"> 9:20a</t>
  </si>
  <si>
    <t xml:space="preserve"> 9:30a</t>
  </si>
  <si>
    <t xml:space="preserve"> 9:40a</t>
  </si>
  <si>
    <t xml:space="preserve"> 9:50a</t>
  </si>
  <si>
    <t>10:00a</t>
  </si>
  <si>
    <t>10:10a</t>
  </si>
  <si>
    <t>10:20a</t>
  </si>
  <si>
    <t>10:30a</t>
  </si>
  <si>
    <t>10:40a</t>
  </si>
  <si>
    <t>10:50a</t>
  </si>
  <si>
    <t>11:00a</t>
  </si>
  <si>
    <t>11:10a</t>
  </si>
  <si>
    <t>11:20a</t>
  </si>
  <si>
    <t>11:30a</t>
  </si>
  <si>
    <t>11:40a</t>
  </si>
  <si>
    <t>11:50a</t>
  </si>
  <si>
    <t>12:00p</t>
  </si>
  <si>
    <t>12:10p</t>
  </si>
  <si>
    <t>12:20p</t>
  </si>
  <si>
    <t>12:30p</t>
  </si>
  <si>
    <t>12:40p</t>
  </si>
  <si>
    <t>12:50p</t>
  </si>
  <si>
    <t xml:space="preserve"> 1:00p</t>
  </si>
  <si>
    <t xml:space="preserve"> 1:10p</t>
  </si>
  <si>
    <t xml:space="preserve"> 1:20p</t>
  </si>
  <si>
    <t xml:space="preserve"> 1:30p</t>
  </si>
  <si>
    <t xml:space="preserve"> 1:40p</t>
  </si>
  <si>
    <t xml:space="preserve"> 1:50p</t>
  </si>
  <si>
    <t xml:space="preserve"> 2:00p</t>
  </si>
  <si>
    <t xml:space="preserve"> 2:10p</t>
  </si>
  <si>
    <t xml:space="preserve"> 2:20p</t>
  </si>
  <si>
    <t xml:space="preserve"> 2:30p</t>
  </si>
  <si>
    <t xml:space="preserve"> 2:40p</t>
  </si>
  <si>
    <t xml:space="preserve"> 2:50p</t>
  </si>
  <si>
    <t xml:space="preserve"> 3:00p</t>
  </si>
  <si>
    <t xml:space="preserve"> 3:10p</t>
  </si>
  <si>
    <t xml:space="preserve"> 3:20p</t>
  </si>
  <si>
    <t xml:space="preserve"> 3:30p</t>
  </si>
  <si>
    <t xml:space="preserve"> 3:40p</t>
  </si>
  <si>
    <t xml:space="preserve"> 3:50p</t>
  </si>
  <si>
    <t xml:space="preserve"> 4:00p</t>
  </si>
  <si>
    <t xml:space="preserve"> 4:10p</t>
  </si>
  <si>
    <t xml:space="preserve"> 4:20p</t>
  </si>
  <si>
    <t xml:space="preserve"> 4:30p</t>
  </si>
  <si>
    <t xml:space="preserve"> 4:40p</t>
  </si>
  <si>
    <t xml:space="preserve"> 4:50p</t>
  </si>
  <si>
    <t xml:space="preserve"> 5:00p</t>
  </si>
  <si>
    <t xml:space="preserve"> 5:10p</t>
  </si>
  <si>
    <t xml:space="preserve"> 5:20p</t>
  </si>
  <si>
    <t xml:space="preserve"> 5:30p</t>
  </si>
  <si>
    <t xml:space="preserve"> 5:40p</t>
  </si>
  <si>
    <t xml:space="preserve"> 5:50p</t>
  </si>
  <si>
    <t xml:space="preserve"> 6:00p</t>
  </si>
  <si>
    <t xml:space="preserve"> 6:10p</t>
  </si>
  <si>
    <t xml:space="preserve"> 6:20p</t>
  </si>
  <si>
    <t xml:space="preserve"> 6:30p</t>
  </si>
  <si>
    <t xml:space="preserve"> 6:40p</t>
  </si>
  <si>
    <t xml:space="preserve"> 6:50p</t>
  </si>
  <si>
    <t xml:space="preserve"> 7:00p</t>
  </si>
  <si>
    <t xml:space="preserve"> 7:10p</t>
  </si>
  <si>
    <t xml:space="preserve"> 7:20p</t>
  </si>
  <si>
    <t xml:space="preserve"> 7:30p</t>
  </si>
  <si>
    <t xml:space="preserve"> 7:40p</t>
  </si>
  <si>
    <t xml:space="preserve"> 7:50p</t>
  </si>
  <si>
    <t xml:space="preserve"> 8:00p</t>
  </si>
  <si>
    <t xml:space="preserve"> 8:10p</t>
  </si>
  <si>
    <t xml:space="preserve"> 8:20p</t>
  </si>
  <si>
    <t xml:space="preserve"> 8:30p</t>
  </si>
  <si>
    <t xml:space="preserve"> 8:40p</t>
  </si>
  <si>
    <t xml:space="preserve"> 8:50p</t>
  </si>
  <si>
    <t xml:space="preserve"> 9:00p</t>
  </si>
  <si>
    <t xml:space="preserve"> 9:10p</t>
  </si>
  <si>
    <t xml:space="preserve"> 9:20p</t>
  </si>
  <si>
    <t xml:space="preserve"> 9:30p</t>
  </si>
  <si>
    <t xml:space="preserve"> 9:40p</t>
  </si>
  <si>
    <t xml:space="preserve"> 9:50p</t>
  </si>
  <si>
    <t>10:00p</t>
  </si>
  <si>
    <t>10:40p</t>
  </si>
  <si>
    <t>10:50p</t>
  </si>
  <si>
    <t>11:00p</t>
  </si>
  <si>
    <t>11:10p</t>
  </si>
  <si>
    <t>11:20p</t>
  </si>
  <si>
    <t>11:30p</t>
  </si>
  <si>
    <t>11:40p</t>
  </si>
  <si>
    <t>11:50p</t>
  </si>
  <si>
    <t>Temp C</t>
  </si>
  <si>
    <t>SpCond uS</t>
  </si>
  <si>
    <t>Sal ppt</t>
  </si>
  <si>
    <t>Depth meters</t>
  </si>
  <si>
    <t xml:space="preserve">pH </t>
  </si>
  <si>
    <t>pH mV</t>
  </si>
  <si>
    <t>Chl ug/L</t>
  </si>
  <si>
    <t>Chl RFU</t>
  </si>
  <si>
    <t>ODOsat %</t>
  </si>
  <si>
    <t>ODO mg/L</t>
  </si>
  <si>
    <t>D. acuminata (cells)</t>
  </si>
  <si>
    <t>D. acuminata (cells/mL)</t>
  </si>
  <si>
    <t>Volume (mL)</t>
  </si>
  <si>
    <t>0 m</t>
  </si>
  <si>
    <t>.5 m</t>
  </si>
  <si>
    <t>1.5 m</t>
  </si>
  <si>
    <t>2.5 m</t>
  </si>
  <si>
    <t>Depth</t>
  </si>
  <si>
    <t>ml counted</t>
  </si>
  <si>
    <t>#acuminata</t>
  </si>
  <si>
    <t>#fortii</t>
  </si>
  <si>
    <t>#parva</t>
  </si>
  <si>
    <t>#acuta</t>
  </si>
  <si>
    <t>#rotundata</t>
  </si>
  <si>
    <t>cells/L acuminata</t>
  </si>
  <si>
    <t>cells/L fortii</t>
  </si>
  <si>
    <t>cells/L parva</t>
  </si>
  <si>
    <t>cells/L acuta</t>
  </si>
  <si>
    <t>cells/L rotundata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</si>
</sst>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-409]m/d/yy\ h:mm\ AM/PM"/>
    <numFmt numFmtId="165" formatCode="[$-F400]h:mm:ss\ AM/PM"/>
    <numFmt numFmtId="166" formatCode="0.000"/>
    <numFmt numFmtId="167" formatCode="0.0"/>
    <numFmt numFmtId="168" formatCode="m/d/yyyy"/>
    <numFmt numFmtId="169" formatCode="M/d/yyyy H:mm:ss"/>
  </numFmts>
  <fonts count="7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rial"/>
    </font>
    <font>
      <b/>
      <sz val="14.0"/>
      <color theme="1"/>
      <name val="Aptos Narrow"/>
    </font>
  </fonts>
  <fills count="2">
    <fill>
      <patternFill patternType="none"/>
    </fill>
    <fill>
      <patternFill patternType="lightGray"/>
    </fill>
  </fills>
  <borders count="23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49" xfId="0" applyFont="1" applyNumberFormat="1"/>
    <xf borderId="0" fillId="0" fontId="2" numFmtId="20" xfId="0" applyFont="1" applyNumberFormat="1"/>
    <xf borderId="0" fillId="0" fontId="2" numFmtId="164" xfId="0" applyFont="1" applyNumberFormat="1"/>
    <xf borderId="0" fillId="0" fontId="2" numFmtId="2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3" numFmtId="0" xfId="0" applyFont="1"/>
    <xf borderId="0" fillId="0" fontId="4" numFmtId="0" xfId="0" applyAlignment="1" applyFont="1">
      <alignment readingOrder="0"/>
    </xf>
    <xf borderId="0" fillId="0" fontId="2" numFmtId="20" xfId="0" applyFont="1" applyNumberFormat="1"/>
    <xf borderId="0" fillId="0" fontId="5" numFmtId="168" xfId="0" applyAlignment="1" applyFont="1" applyNumberFormat="1">
      <alignment readingOrder="0"/>
    </xf>
    <xf borderId="0" fillId="0" fontId="2" numFmtId="169" xfId="0" applyFont="1" applyNumberFormat="1"/>
    <xf borderId="0" fillId="0" fontId="2" numFmtId="2" xfId="0" applyFont="1" applyNumberFormat="1"/>
    <xf borderId="0" fillId="0" fontId="2" numFmtId="0" xfId="0" applyFont="1"/>
    <xf borderId="0" fillId="0" fontId="2" numFmtId="1" xfId="0" applyFont="1" applyNumberFormat="1"/>
    <xf borderId="1" fillId="0" fontId="6" numFmtId="0" xfId="0" applyAlignment="1" applyBorder="1" applyFont="1">
      <alignment shrinkToFit="0" wrapText="1"/>
    </xf>
    <xf borderId="2" fillId="0" fontId="6" numFmtId="0" xfId="0" applyAlignment="1" applyBorder="1" applyFont="1">
      <alignment shrinkToFit="0" wrapText="1"/>
    </xf>
    <xf borderId="3" fillId="0" fontId="6" numFmtId="0" xfId="0" applyAlignment="1" applyBorder="1" applyFont="1">
      <alignment shrinkToFit="0" wrapText="1"/>
    </xf>
    <xf borderId="4" fillId="0" fontId="6" numFmtId="0" xfId="0" applyAlignment="1" applyBorder="1" applyFont="1">
      <alignment shrinkToFit="0" wrapText="1"/>
    </xf>
    <xf borderId="5" fillId="0" fontId="6" numFmtId="0" xfId="0" applyAlignment="1" applyBorder="1" applyFont="1">
      <alignment shrinkToFit="0" wrapText="1"/>
    </xf>
    <xf borderId="6" fillId="0" fontId="2" numFmtId="20" xfId="0" applyBorder="1" applyFont="1" applyNumberFormat="1"/>
    <xf borderId="7" fillId="0" fontId="2" numFmtId="0" xfId="0" applyBorder="1" applyFont="1"/>
    <xf borderId="6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5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4" fillId="0" fontId="2" numFmtId="0" xfId="0" applyBorder="1" applyFont="1"/>
    <xf borderId="14" fillId="0" fontId="2" numFmtId="0" xfId="0" applyBorder="1" applyFont="1"/>
    <xf borderId="15" fillId="0" fontId="2" numFmtId="20" xfId="0" applyBorder="1" applyFont="1" applyNumberForma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2">
    <tableStyle count="3" pivot="0" name="tide-style">
      <tableStyleElement dxfId="1" type="headerRow"/>
      <tableStyleElement dxfId="2" type="firstRowStripe"/>
      <tableStyleElement dxfId="3" type="secondRowStripe"/>
    </tableStyle>
    <tableStyle count="3" pivot="0" name="CTD-style">
      <tableStyleElement dxfId="4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06" displayName="Table_1" name="Table_1" id="1">
  <tableColumns count="6">
    <tableColumn name="Date" id="1"/>
    <tableColumn name="rawtime" id="2"/>
    <tableColumn name="Time" id="3"/>
    <tableColumn name="dt" id="4"/>
    <tableColumn name="Height  (ft)" id="5"/>
    <tableColumn name="Height (m)" id="6"/>
  </tableColumns>
  <tableStyleInfo name="tide-style" showColumnStripes="0" showFirstColumn="1" showLastColumn="1" showRowStripes="1"/>
</table>
</file>

<file path=xl/tables/table2.xml><?xml version="1.0" encoding="utf-8"?>
<table xmlns="http://schemas.openxmlformats.org/spreadsheetml/2006/main" ref="A1:K233" displayName="Table_2" name="Table_2" id="2">
  <tableColumns count="11">
    <tableColumn name="dt" id="1"/>
    <tableColumn name="Temp C" id="2"/>
    <tableColumn name="SpCond uS" id="3"/>
    <tableColumn name="Sal ppt" id="4"/>
    <tableColumn name="Depth meters" id="5"/>
    <tableColumn name="pH " id="6"/>
    <tableColumn name="pH mV" id="7"/>
    <tableColumn name="Chl ug/L" id="8"/>
    <tableColumn name="Chl RFU" id="9"/>
    <tableColumn name="ODOsat %" id="10"/>
    <tableColumn name="ODO mg/L" id="11"/>
  </tableColumns>
  <tableStyleInfo name="CT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8.63"/>
    <col customWidth="1" min="3" max="3" width="7.38"/>
    <col customWidth="1" min="4" max="4" width="15.25"/>
    <col customWidth="1" min="5" max="5" width="10.75"/>
    <col customWidth="1" min="6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>
        <v>41863.0</v>
      </c>
      <c r="B2" s="3" t="s">
        <v>6</v>
      </c>
      <c r="C2" s="4">
        <f t="shared" ref="C2:C106" si="1">TIMEVALUE(SUBSTITUTE(SUBSTITUTE(LOWER(B2),"a"," AM"),"p"," PM"))</f>
        <v>0.25</v>
      </c>
      <c r="D2" s="5">
        <f>tide!$A2+tide!$C2</f>
        <v>41863.25</v>
      </c>
      <c r="E2" s="1">
        <v>6.9</v>
      </c>
      <c r="F2" s="6">
        <f>tide!$E2*0.3048</f>
        <v>2.10312</v>
      </c>
    </row>
    <row r="3" ht="14.25" customHeight="1">
      <c r="A3" s="2">
        <v>41863.0</v>
      </c>
      <c r="B3" s="7" t="s">
        <v>7</v>
      </c>
      <c r="C3" s="4">
        <f t="shared" si="1"/>
        <v>0.2569444444</v>
      </c>
      <c r="D3" s="5">
        <f>tide!$A3+tide!$C3</f>
        <v>41863.25694</v>
      </c>
      <c r="E3" s="1">
        <v>6.7</v>
      </c>
      <c r="F3" s="6">
        <f>tide!$E3*0.3048</f>
        <v>2.04216</v>
      </c>
    </row>
    <row r="4" ht="14.25" customHeight="1">
      <c r="A4" s="2">
        <v>41863.0</v>
      </c>
      <c r="B4" s="7" t="s">
        <v>8</v>
      </c>
      <c r="C4" s="4">
        <f t="shared" si="1"/>
        <v>0.2638888889</v>
      </c>
      <c r="D4" s="5">
        <f>tide!$A4+tide!$C4</f>
        <v>41863.26389</v>
      </c>
      <c r="E4" s="1">
        <v>6.6</v>
      </c>
      <c r="F4" s="6">
        <f>tide!$E4*0.3048</f>
        <v>2.01168</v>
      </c>
    </row>
    <row r="5" ht="14.25" customHeight="1">
      <c r="A5" s="2">
        <v>41863.0</v>
      </c>
      <c r="B5" s="7" t="s">
        <v>9</v>
      </c>
      <c r="C5" s="4">
        <f t="shared" si="1"/>
        <v>0.2708333333</v>
      </c>
      <c r="D5" s="5">
        <f>tide!$A5+tide!$C5</f>
        <v>41863.27083</v>
      </c>
      <c r="E5" s="1">
        <v>6.3</v>
      </c>
      <c r="F5" s="6">
        <f>tide!$E5*0.3048</f>
        <v>1.92024</v>
      </c>
    </row>
    <row r="6" ht="14.25" customHeight="1">
      <c r="A6" s="2">
        <v>41863.0</v>
      </c>
      <c r="B6" s="7" t="s">
        <v>10</v>
      </c>
      <c r="C6" s="4">
        <f t="shared" si="1"/>
        <v>0.2777777778</v>
      </c>
      <c r="D6" s="5">
        <f>tide!$A6+tide!$C6</f>
        <v>41863.27778</v>
      </c>
      <c r="E6" s="1">
        <v>6.1</v>
      </c>
      <c r="F6" s="6">
        <f>tide!$E6*0.3048</f>
        <v>1.85928</v>
      </c>
    </row>
    <row r="7" ht="14.25" customHeight="1">
      <c r="A7" s="2">
        <v>41863.0</v>
      </c>
      <c r="B7" s="7" t="s">
        <v>11</v>
      </c>
      <c r="C7" s="4">
        <f t="shared" si="1"/>
        <v>0.2847222222</v>
      </c>
      <c r="D7" s="5">
        <f>tide!$A7+tide!$C7</f>
        <v>41863.28472</v>
      </c>
      <c r="E7" s="1">
        <v>5.9</v>
      </c>
      <c r="F7" s="6">
        <f>tide!$E7*0.3048</f>
        <v>1.79832</v>
      </c>
    </row>
    <row r="8" ht="14.25" customHeight="1">
      <c r="A8" s="2">
        <v>41863.0</v>
      </c>
      <c r="B8" s="7" t="s">
        <v>12</v>
      </c>
      <c r="C8" s="4">
        <f t="shared" si="1"/>
        <v>0.2916666667</v>
      </c>
      <c r="D8" s="5">
        <f>tide!$A8+tide!$C8</f>
        <v>41863.29167</v>
      </c>
      <c r="E8" s="1">
        <v>5.7</v>
      </c>
      <c r="F8" s="6">
        <f>tide!$E8*0.3048</f>
        <v>1.73736</v>
      </c>
    </row>
    <row r="9" ht="14.25" customHeight="1">
      <c r="A9" s="2">
        <v>41863.0</v>
      </c>
      <c r="B9" s="7" t="s">
        <v>13</v>
      </c>
      <c r="C9" s="4">
        <f t="shared" si="1"/>
        <v>0.2986111111</v>
      </c>
      <c r="D9" s="5">
        <f>tide!$A9+tide!$C9</f>
        <v>41863.29861</v>
      </c>
      <c r="E9" s="1">
        <v>5.4</v>
      </c>
      <c r="F9" s="6">
        <f>tide!$E9*0.3048</f>
        <v>1.64592</v>
      </c>
    </row>
    <row r="10" ht="14.25" customHeight="1">
      <c r="A10" s="2">
        <v>41863.0</v>
      </c>
      <c r="B10" s="7" t="s">
        <v>14</v>
      </c>
      <c r="C10" s="4">
        <f t="shared" si="1"/>
        <v>0.3055555556</v>
      </c>
      <c r="D10" s="5">
        <f>tide!$A10+tide!$C10</f>
        <v>41863.30556</v>
      </c>
      <c r="E10" s="1">
        <v>5.1</v>
      </c>
      <c r="F10" s="6">
        <f>tide!$E10*0.3048</f>
        <v>1.55448</v>
      </c>
    </row>
    <row r="11" ht="14.25" customHeight="1">
      <c r="A11" s="2">
        <v>41863.0</v>
      </c>
      <c r="B11" s="7" t="s">
        <v>15</v>
      </c>
      <c r="C11" s="4">
        <f t="shared" si="1"/>
        <v>0.3125</v>
      </c>
      <c r="D11" s="5">
        <f>tide!$A11+tide!$C11</f>
        <v>41863.3125</v>
      </c>
      <c r="E11" s="1">
        <v>4.8</v>
      </c>
      <c r="F11" s="6">
        <f>tide!$E11*0.3048</f>
        <v>1.46304</v>
      </c>
    </row>
    <row r="12" ht="14.25" customHeight="1">
      <c r="A12" s="2">
        <v>41863.0</v>
      </c>
      <c r="B12" s="7" t="s">
        <v>16</v>
      </c>
      <c r="C12" s="4">
        <f t="shared" si="1"/>
        <v>0.3194444444</v>
      </c>
      <c r="D12" s="5">
        <f>tide!$A12+tide!$C12</f>
        <v>41863.31944</v>
      </c>
      <c r="E12" s="1">
        <v>4.5</v>
      </c>
      <c r="F12" s="6">
        <f>tide!$E12*0.3048</f>
        <v>1.3716</v>
      </c>
    </row>
    <row r="13" ht="14.25" customHeight="1">
      <c r="A13" s="2">
        <v>41863.0</v>
      </c>
      <c r="B13" s="7" t="s">
        <v>17</v>
      </c>
      <c r="C13" s="4">
        <f t="shared" si="1"/>
        <v>0.3263888889</v>
      </c>
      <c r="D13" s="5">
        <f>tide!$A13+tide!$C13</f>
        <v>41863.32639</v>
      </c>
      <c r="E13" s="1">
        <v>4.2</v>
      </c>
      <c r="F13" s="6">
        <f>tide!$E13*0.3048</f>
        <v>1.28016</v>
      </c>
    </row>
    <row r="14" ht="14.25" customHeight="1">
      <c r="A14" s="2">
        <v>41863.0</v>
      </c>
      <c r="B14" s="7" t="s">
        <v>18</v>
      </c>
      <c r="C14" s="4">
        <f t="shared" si="1"/>
        <v>0.3333333333</v>
      </c>
      <c r="D14" s="5">
        <f>tide!$A14+tide!$C14</f>
        <v>41863.33333</v>
      </c>
      <c r="E14" s="1">
        <v>3.9</v>
      </c>
      <c r="F14" s="6">
        <f>tide!$E14*0.3048</f>
        <v>1.18872</v>
      </c>
    </row>
    <row r="15" ht="14.25" customHeight="1">
      <c r="A15" s="2">
        <v>41863.0</v>
      </c>
      <c r="B15" s="7" t="s">
        <v>19</v>
      </c>
      <c r="C15" s="4">
        <f t="shared" si="1"/>
        <v>0.3402777778</v>
      </c>
      <c r="D15" s="5">
        <f>tide!$A15+tide!$C15</f>
        <v>41863.34028</v>
      </c>
      <c r="E15" s="1">
        <v>3.5</v>
      </c>
      <c r="F15" s="6">
        <f>tide!$E15*0.3048</f>
        <v>1.0668</v>
      </c>
    </row>
    <row r="16" ht="14.25" customHeight="1">
      <c r="A16" s="2">
        <v>41863.0</v>
      </c>
      <c r="B16" s="7" t="s">
        <v>20</v>
      </c>
      <c r="C16" s="4">
        <f t="shared" si="1"/>
        <v>0.3472222222</v>
      </c>
      <c r="D16" s="5">
        <f>tide!$A16+tide!$C16</f>
        <v>41863.34722</v>
      </c>
      <c r="E16" s="1">
        <v>3.2</v>
      </c>
      <c r="F16" s="6">
        <f>tide!$E16*0.3048</f>
        <v>0.97536</v>
      </c>
    </row>
    <row r="17" ht="14.25" customHeight="1">
      <c r="A17" s="2">
        <v>41863.0</v>
      </c>
      <c r="B17" s="7" t="s">
        <v>21</v>
      </c>
      <c r="C17" s="4">
        <f t="shared" si="1"/>
        <v>0.3541666667</v>
      </c>
      <c r="D17" s="5">
        <f>tide!$A17+tide!$C17</f>
        <v>41863.35417</v>
      </c>
      <c r="E17" s="1">
        <v>2.9</v>
      </c>
      <c r="F17" s="6">
        <f>tide!$E17*0.3048</f>
        <v>0.88392</v>
      </c>
    </row>
    <row r="18" ht="14.25" customHeight="1">
      <c r="A18" s="2">
        <v>41863.0</v>
      </c>
      <c r="B18" s="7" t="s">
        <v>22</v>
      </c>
      <c r="C18" s="4">
        <f t="shared" si="1"/>
        <v>0.3611111111</v>
      </c>
      <c r="D18" s="5">
        <f>tide!$A18+tide!$C18</f>
        <v>41863.36111</v>
      </c>
      <c r="E18" s="1">
        <v>2.6</v>
      </c>
      <c r="F18" s="6">
        <f>tide!$E18*0.3048</f>
        <v>0.79248</v>
      </c>
    </row>
    <row r="19" ht="14.25" customHeight="1">
      <c r="A19" s="2">
        <v>41863.0</v>
      </c>
      <c r="B19" s="7" t="s">
        <v>23</v>
      </c>
      <c r="C19" s="4">
        <f t="shared" si="1"/>
        <v>0.3680555556</v>
      </c>
      <c r="D19" s="5">
        <f>tide!$A19+tide!$C19</f>
        <v>41863.36806</v>
      </c>
      <c r="E19" s="1">
        <v>2.2</v>
      </c>
      <c r="F19" s="6">
        <f>tide!$E19*0.3048</f>
        <v>0.67056</v>
      </c>
    </row>
    <row r="20" ht="14.25" customHeight="1">
      <c r="A20" s="2">
        <v>41863.0</v>
      </c>
      <c r="B20" s="7" t="s">
        <v>24</v>
      </c>
      <c r="C20" s="4">
        <f t="shared" si="1"/>
        <v>0.375</v>
      </c>
      <c r="D20" s="5">
        <f>tide!$A20+tide!$C20</f>
        <v>41863.375</v>
      </c>
      <c r="E20" s="1">
        <v>1.9</v>
      </c>
      <c r="F20" s="6">
        <f>tide!$E20*0.3048</f>
        <v>0.57912</v>
      </c>
    </row>
    <row r="21" ht="14.25" customHeight="1">
      <c r="A21" s="2">
        <v>41863.0</v>
      </c>
      <c r="B21" s="7" t="s">
        <v>25</v>
      </c>
      <c r="C21" s="4">
        <f t="shared" si="1"/>
        <v>0.3819444444</v>
      </c>
      <c r="D21" s="5">
        <f>tide!$A21+tide!$C21</f>
        <v>41863.38194</v>
      </c>
      <c r="E21" s="1">
        <v>1.6</v>
      </c>
      <c r="F21" s="6">
        <f>tide!$E21*0.3048</f>
        <v>0.48768</v>
      </c>
    </row>
    <row r="22" ht="14.25" customHeight="1">
      <c r="A22" s="2">
        <v>41863.0</v>
      </c>
      <c r="B22" s="7" t="s">
        <v>26</v>
      </c>
      <c r="C22" s="4">
        <f t="shared" si="1"/>
        <v>0.3888888889</v>
      </c>
      <c r="D22" s="5">
        <f>tide!$A22+tide!$C22</f>
        <v>41863.38889</v>
      </c>
      <c r="E22" s="1">
        <v>1.3</v>
      </c>
      <c r="F22" s="6">
        <f>tide!$E22*0.3048</f>
        <v>0.39624</v>
      </c>
    </row>
    <row r="23" ht="14.25" customHeight="1">
      <c r="A23" s="2">
        <v>41863.0</v>
      </c>
      <c r="B23" s="7" t="s">
        <v>27</v>
      </c>
      <c r="C23" s="4">
        <f t="shared" si="1"/>
        <v>0.3958333333</v>
      </c>
      <c r="D23" s="5">
        <f>tide!$A23+tide!$C23</f>
        <v>41863.39583</v>
      </c>
      <c r="E23" s="1">
        <v>1.0</v>
      </c>
      <c r="F23" s="6">
        <f>tide!$E23*0.3048</f>
        <v>0.3048</v>
      </c>
    </row>
    <row r="24" ht="14.25" customHeight="1">
      <c r="A24" s="2">
        <v>41863.0</v>
      </c>
      <c r="B24" s="7" t="s">
        <v>28</v>
      </c>
      <c r="C24" s="4">
        <f t="shared" si="1"/>
        <v>0.4027777778</v>
      </c>
      <c r="D24" s="5">
        <f>tide!$A24+tide!$C24</f>
        <v>41863.40278</v>
      </c>
      <c r="E24" s="1">
        <v>0.7</v>
      </c>
      <c r="F24" s="6">
        <f>tide!$E24*0.3048</f>
        <v>0.21336</v>
      </c>
    </row>
    <row r="25" ht="14.25" customHeight="1">
      <c r="A25" s="2">
        <v>41863.0</v>
      </c>
      <c r="B25" s="7" t="s">
        <v>29</v>
      </c>
      <c r="C25" s="4">
        <f t="shared" si="1"/>
        <v>0.4097222222</v>
      </c>
      <c r="D25" s="5">
        <f>tide!$A25+tide!$C25</f>
        <v>41863.40972</v>
      </c>
      <c r="E25" s="1">
        <v>0.5</v>
      </c>
      <c r="F25" s="6">
        <f>tide!$E25*0.3048</f>
        <v>0.1524</v>
      </c>
    </row>
    <row r="26" ht="14.25" customHeight="1">
      <c r="A26" s="2">
        <v>41863.0</v>
      </c>
      <c r="B26" s="7" t="s">
        <v>30</v>
      </c>
      <c r="C26" s="4">
        <f t="shared" si="1"/>
        <v>0.4166666667</v>
      </c>
      <c r="D26" s="5">
        <f>tide!$A26+tide!$C26</f>
        <v>41863.41667</v>
      </c>
      <c r="E26" s="1">
        <v>0.2</v>
      </c>
      <c r="F26" s="6">
        <f>tide!$E26*0.3048</f>
        <v>0.06096</v>
      </c>
    </row>
    <row r="27" ht="14.25" customHeight="1">
      <c r="A27" s="2">
        <v>41863.0</v>
      </c>
      <c r="B27" s="7" t="s">
        <v>31</v>
      </c>
      <c r="C27" s="4">
        <f t="shared" si="1"/>
        <v>0.4236111111</v>
      </c>
      <c r="D27" s="5">
        <f>tide!$A27+tide!$C27</f>
        <v>41863.42361</v>
      </c>
      <c r="E27" s="1">
        <v>0.0</v>
      </c>
      <c r="F27" s="6">
        <f>tide!$E27*0.3048</f>
        <v>0</v>
      </c>
    </row>
    <row r="28" ht="14.25" customHeight="1">
      <c r="A28" s="2">
        <v>41863.0</v>
      </c>
      <c r="B28" s="7" t="s">
        <v>32</v>
      </c>
      <c r="C28" s="4">
        <f t="shared" si="1"/>
        <v>0.4305555556</v>
      </c>
      <c r="D28" s="5">
        <f>tide!$A28+tide!$C28</f>
        <v>41863.43056</v>
      </c>
      <c r="E28" s="1">
        <v>-0.2</v>
      </c>
      <c r="F28" s="6">
        <f>tide!$E28*0.3048</f>
        <v>-0.06096</v>
      </c>
    </row>
    <row r="29" ht="14.25" customHeight="1">
      <c r="A29" s="2">
        <v>41863.0</v>
      </c>
      <c r="B29" s="7" t="s">
        <v>33</v>
      </c>
      <c r="C29" s="4">
        <f t="shared" si="1"/>
        <v>0.4375</v>
      </c>
      <c r="D29" s="5">
        <f>tide!$A29+tide!$C29</f>
        <v>41863.4375</v>
      </c>
      <c r="E29" s="1">
        <v>-0.4</v>
      </c>
      <c r="F29" s="6">
        <f>tide!$E29*0.3048</f>
        <v>-0.12192</v>
      </c>
    </row>
    <row r="30" ht="14.25" customHeight="1">
      <c r="A30" s="2">
        <v>41863.0</v>
      </c>
      <c r="B30" s="7" t="s">
        <v>34</v>
      </c>
      <c r="C30" s="4">
        <f t="shared" si="1"/>
        <v>0.4444444444</v>
      </c>
      <c r="D30" s="5">
        <f>tide!$A30+tide!$C30</f>
        <v>41863.44444</v>
      </c>
      <c r="E30" s="1">
        <v>-0.5</v>
      </c>
      <c r="F30" s="6">
        <f>tide!$E30*0.3048</f>
        <v>-0.1524</v>
      </c>
    </row>
    <row r="31" ht="14.25" customHeight="1">
      <c r="A31" s="2">
        <v>41863.0</v>
      </c>
      <c r="B31" s="7" t="s">
        <v>35</v>
      </c>
      <c r="C31" s="4">
        <f t="shared" si="1"/>
        <v>0.4513888889</v>
      </c>
      <c r="D31" s="5">
        <f>tide!$A31+tide!$C31</f>
        <v>41863.45139</v>
      </c>
      <c r="E31" s="1">
        <v>-0.6</v>
      </c>
      <c r="F31" s="6">
        <f>tide!$E31*0.3048</f>
        <v>-0.18288</v>
      </c>
    </row>
    <row r="32" ht="14.25" customHeight="1">
      <c r="A32" s="2">
        <v>41863.0</v>
      </c>
      <c r="B32" s="7" t="s">
        <v>36</v>
      </c>
      <c r="C32" s="4">
        <f t="shared" si="1"/>
        <v>0.4583333333</v>
      </c>
      <c r="D32" s="5">
        <f>tide!$A32+tide!$C32</f>
        <v>41863.45833</v>
      </c>
      <c r="E32" s="1">
        <v>-0.7</v>
      </c>
      <c r="F32" s="6">
        <f>tide!$E32*0.3048</f>
        <v>-0.21336</v>
      </c>
    </row>
    <row r="33" ht="14.25" customHeight="1">
      <c r="A33" s="2">
        <v>41863.0</v>
      </c>
      <c r="B33" s="7" t="s">
        <v>37</v>
      </c>
      <c r="C33" s="4">
        <f t="shared" si="1"/>
        <v>0.4652777778</v>
      </c>
      <c r="D33" s="5">
        <f>tide!$A33+tide!$C33</f>
        <v>41863.46528</v>
      </c>
      <c r="E33" s="1">
        <v>-0.8</v>
      </c>
      <c r="F33" s="6">
        <f>tide!$E33*0.3048</f>
        <v>-0.24384</v>
      </c>
    </row>
    <row r="34" ht="14.25" customHeight="1">
      <c r="A34" s="2">
        <v>41863.0</v>
      </c>
      <c r="B34" s="7" t="s">
        <v>38</v>
      </c>
      <c r="C34" s="4">
        <f t="shared" si="1"/>
        <v>0.4722222222</v>
      </c>
      <c r="D34" s="5">
        <f>tide!$A34+tide!$C34</f>
        <v>41863.47222</v>
      </c>
      <c r="E34" s="1">
        <v>-0.8</v>
      </c>
      <c r="F34" s="6">
        <f>tide!$E34*0.3048</f>
        <v>-0.24384</v>
      </c>
    </row>
    <row r="35" ht="14.25" customHeight="1">
      <c r="A35" s="2">
        <v>41863.0</v>
      </c>
      <c r="B35" s="7" t="s">
        <v>39</v>
      </c>
      <c r="C35" s="4">
        <f t="shared" si="1"/>
        <v>0.4791666667</v>
      </c>
      <c r="D35" s="5">
        <f>tide!$A35+tide!$C35</f>
        <v>41863.47917</v>
      </c>
      <c r="E35" s="1">
        <v>-0.8</v>
      </c>
      <c r="F35" s="6">
        <f>tide!$E35*0.3048</f>
        <v>-0.24384</v>
      </c>
    </row>
    <row r="36" ht="14.25" customHeight="1">
      <c r="A36" s="2">
        <v>41863.0</v>
      </c>
      <c r="B36" s="7" t="s">
        <v>40</v>
      </c>
      <c r="C36" s="4">
        <f t="shared" si="1"/>
        <v>0.4861111111</v>
      </c>
      <c r="D36" s="5">
        <f>tide!$A36+tide!$C36</f>
        <v>41863.48611</v>
      </c>
      <c r="E36" s="1">
        <v>-0.8</v>
      </c>
      <c r="F36" s="6">
        <f>tide!$E36*0.3048</f>
        <v>-0.24384</v>
      </c>
    </row>
    <row r="37" ht="14.25" customHeight="1">
      <c r="A37" s="2">
        <v>41863.0</v>
      </c>
      <c r="B37" s="7" t="s">
        <v>41</v>
      </c>
      <c r="C37" s="4">
        <f t="shared" si="1"/>
        <v>0.4930555556</v>
      </c>
      <c r="D37" s="5">
        <f>tide!$A37+tide!$C37</f>
        <v>41863.49306</v>
      </c>
      <c r="E37" s="1">
        <v>-0.8</v>
      </c>
      <c r="F37" s="6">
        <f>tide!$E37*0.3048</f>
        <v>-0.24384</v>
      </c>
    </row>
    <row r="38" ht="14.25" customHeight="1">
      <c r="A38" s="2">
        <v>41863.0</v>
      </c>
      <c r="B38" s="7" t="s">
        <v>42</v>
      </c>
      <c r="C38" s="4">
        <f t="shared" si="1"/>
        <v>0.5</v>
      </c>
      <c r="D38" s="5">
        <f>tide!$A38+tide!$C38</f>
        <v>41863.5</v>
      </c>
      <c r="E38" s="1">
        <v>-0.7</v>
      </c>
      <c r="F38" s="6">
        <f>tide!$E38*0.3048</f>
        <v>-0.21336</v>
      </c>
    </row>
    <row r="39" ht="14.25" customHeight="1">
      <c r="A39" s="2">
        <v>41863.0</v>
      </c>
      <c r="B39" s="7" t="s">
        <v>43</v>
      </c>
      <c r="C39" s="4">
        <f t="shared" si="1"/>
        <v>0.5069444444</v>
      </c>
      <c r="D39" s="5">
        <f>tide!$A39+tide!$C39</f>
        <v>41863.50694</v>
      </c>
      <c r="E39" s="1">
        <v>-0.6</v>
      </c>
      <c r="F39" s="6">
        <f>tide!$E39*0.3048</f>
        <v>-0.18288</v>
      </c>
    </row>
    <row r="40" ht="14.25" customHeight="1">
      <c r="A40" s="2">
        <v>41863.0</v>
      </c>
      <c r="B40" s="7" t="s">
        <v>44</v>
      </c>
      <c r="C40" s="4">
        <f t="shared" si="1"/>
        <v>0.5138888889</v>
      </c>
      <c r="D40" s="5">
        <f>tide!$A40+tide!$C40</f>
        <v>41863.51389</v>
      </c>
      <c r="E40" s="1">
        <v>-0.4</v>
      </c>
      <c r="F40" s="6">
        <f>tide!$E40*0.3048</f>
        <v>-0.12192</v>
      </c>
    </row>
    <row r="41" ht="14.25" customHeight="1">
      <c r="A41" s="2">
        <v>41863.0</v>
      </c>
      <c r="B41" s="7" t="s">
        <v>45</v>
      </c>
      <c r="C41" s="4">
        <f t="shared" si="1"/>
        <v>0.5208333333</v>
      </c>
      <c r="D41" s="5">
        <f>tide!$A41+tide!$C41</f>
        <v>41863.52083</v>
      </c>
      <c r="E41" s="1">
        <v>-0.3</v>
      </c>
      <c r="F41" s="6">
        <f>tide!$E41*0.3048</f>
        <v>-0.09144</v>
      </c>
    </row>
    <row r="42" ht="14.25" customHeight="1">
      <c r="A42" s="2">
        <v>41863.0</v>
      </c>
      <c r="B42" s="7" t="s">
        <v>46</v>
      </c>
      <c r="C42" s="4">
        <f t="shared" si="1"/>
        <v>0.5277777778</v>
      </c>
      <c r="D42" s="5">
        <f>tide!$A42+tide!$C42</f>
        <v>41863.52778</v>
      </c>
      <c r="E42" s="1">
        <v>-0.1</v>
      </c>
      <c r="F42" s="6">
        <f>tide!$E42*0.3048</f>
        <v>-0.03048</v>
      </c>
    </row>
    <row r="43" ht="14.25" customHeight="1">
      <c r="A43" s="2">
        <v>41863.0</v>
      </c>
      <c r="B43" s="7" t="s">
        <v>47</v>
      </c>
      <c r="C43" s="4">
        <f t="shared" si="1"/>
        <v>0.5347222222</v>
      </c>
      <c r="D43" s="5">
        <f>tide!$A43+tide!$C43</f>
        <v>41863.53472</v>
      </c>
      <c r="E43" s="1">
        <v>0.1</v>
      </c>
      <c r="F43" s="6">
        <f>tide!$E43*0.3048</f>
        <v>0.03048</v>
      </c>
    </row>
    <row r="44" ht="14.25" customHeight="1">
      <c r="A44" s="2">
        <v>41863.0</v>
      </c>
      <c r="B44" s="7" t="s">
        <v>48</v>
      </c>
      <c r="C44" s="4">
        <f t="shared" si="1"/>
        <v>0.5416666667</v>
      </c>
      <c r="D44" s="5">
        <f>tide!$A44+tide!$C44</f>
        <v>41863.54167</v>
      </c>
      <c r="E44" s="1">
        <v>0.3</v>
      </c>
      <c r="F44" s="6">
        <f>tide!$E44*0.3048</f>
        <v>0.09144</v>
      </c>
    </row>
    <row r="45" ht="14.25" customHeight="1">
      <c r="A45" s="2">
        <v>41863.0</v>
      </c>
      <c r="B45" s="7" t="s">
        <v>49</v>
      </c>
      <c r="C45" s="4">
        <f t="shared" si="1"/>
        <v>0.5486111111</v>
      </c>
      <c r="D45" s="5">
        <f>tide!$A45+tide!$C45</f>
        <v>41863.54861</v>
      </c>
      <c r="E45" s="1">
        <v>0.6</v>
      </c>
      <c r="F45" s="6">
        <f>tide!$E45*0.3048</f>
        <v>0.18288</v>
      </c>
    </row>
    <row r="46" ht="14.25" customHeight="1">
      <c r="A46" s="2">
        <v>41863.0</v>
      </c>
      <c r="B46" s="7" t="s">
        <v>50</v>
      </c>
      <c r="C46" s="4">
        <f t="shared" si="1"/>
        <v>0.5555555556</v>
      </c>
      <c r="D46" s="5">
        <f>tide!$A46+tide!$C46</f>
        <v>41863.55556</v>
      </c>
      <c r="E46" s="1">
        <v>0.8</v>
      </c>
      <c r="F46" s="6">
        <f>tide!$E46*0.3048</f>
        <v>0.24384</v>
      </c>
    </row>
    <row r="47" ht="14.25" customHeight="1">
      <c r="A47" s="2">
        <v>41863.0</v>
      </c>
      <c r="B47" s="7" t="s">
        <v>51</v>
      </c>
      <c r="C47" s="4">
        <f t="shared" si="1"/>
        <v>0.5625</v>
      </c>
      <c r="D47" s="5">
        <f>tide!$A47+tide!$C47</f>
        <v>41863.5625</v>
      </c>
      <c r="E47" s="1">
        <v>1.1</v>
      </c>
      <c r="F47" s="6">
        <f>tide!$E47*0.3048</f>
        <v>0.33528</v>
      </c>
    </row>
    <row r="48" ht="14.25" customHeight="1">
      <c r="A48" s="2">
        <v>41863.0</v>
      </c>
      <c r="B48" s="7" t="s">
        <v>52</v>
      </c>
      <c r="C48" s="4">
        <f t="shared" si="1"/>
        <v>0.5694444444</v>
      </c>
      <c r="D48" s="5">
        <f>tide!$A48+tide!$C48</f>
        <v>41863.56944</v>
      </c>
      <c r="E48" s="1">
        <v>1.4</v>
      </c>
      <c r="F48" s="6">
        <f>tide!$E48*0.3048</f>
        <v>0.42672</v>
      </c>
    </row>
    <row r="49" ht="14.25" customHeight="1">
      <c r="A49" s="2">
        <v>41863.0</v>
      </c>
      <c r="B49" s="7" t="s">
        <v>53</v>
      </c>
      <c r="C49" s="4">
        <f t="shared" si="1"/>
        <v>0.5763888889</v>
      </c>
      <c r="D49" s="5">
        <f>tide!$A49+tide!$C49</f>
        <v>41863.57639</v>
      </c>
      <c r="E49" s="1">
        <v>1.6</v>
      </c>
      <c r="F49" s="6">
        <f>tide!$E49*0.3048</f>
        <v>0.48768</v>
      </c>
    </row>
    <row r="50" ht="14.25" customHeight="1">
      <c r="A50" s="2">
        <v>41863.0</v>
      </c>
      <c r="B50" s="7" t="s">
        <v>54</v>
      </c>
      <c r="C50" s="4">
        <f t="shared" si="1"/>
        <v>0.5833333333</v>
      </c>
      <c r="D50" s="5">
        <f>tide!$A50+tide!$C50</f>
        <v>41863.58333</v>
      </c>
      <c r="E50" s="1">
        <v>1.9</v>
      </c>
      <c r="F50" s="6">
        <f>tide!$E50*0.3048</f>
        <v>0.57912</v>
      </c>
    </row>
    <row r="51" ht="14.25" customHeight="1">
      <c r="A51" s="2">
        <v>41863.0</v>
      </c>
      <c r="B51" s="7" t="s">
        <v>55</v>
      </c>
      <c r="C51" s="4">
        <f t="shared" si="1"/>
        <v>0.5902777778</v>
      </c>
      <c r="D51" s="5">
        <f>tide!$A51+tide!$C51</f>
        <v>41863.59028</v>
      </c>
      <c r="E51" s="1">
        <v>2.2</v>
      </c>
      <c r="F51" s="6">
        <f>tide!$E51*0.3048</f>
        <v>0.67056</v>
      </c>
    </row>
    <row r="52" ht="14.25" customHeight="1">
      <c r="A52" s="2">
        <v>41863.0</v>
      </c>
      <c r="B52" s="7" t="s">
        <v>56</v>
      </c>
      <c r="C52" s="4">
        <f t="shared" si="1"/>
        <v>0.5972222222</v>
      </c>
      <c r="D52" s="5">
        <f>tide!$A52+tide!$C52</f>
        <v>41863.59722</v>
      </c>
      <c r="E52" s="1">
        <v>2.5</v>
      </c>
      <c r="F52" s="6">
        <f>tide!$E52*0.3048</f>
        <v>0.762</v>
      </c>
    </row>
    <row r="53" ht="14.25" customHeight="1">
      <c r="A53" s="2">
        <v>41863.0</v>
      </c>
      <c r="B53" s="7" t="s">
        <v>57</v>
      </c>
      <c r="C53" s="4">
        <f t="shared" si="1"/>
        <v>0.6041666667</v>
      </c>
      <c r="D53" s="5">
        <f>tide!$A53+tide!$C53</f>
        <v>41863.60417</v>
      </c>
      <c r="E53" s="1">
        <v>2.8</v>
      </c>
      <c r="F53" s="6">
        <f>tide!$E53*0.3048</f>
        <v>0.85344</v>
      </c>
    </row>
    <row r="54" ht="14.25" customHeight="1">
      <c r="A54" s="2">
        <v>41863.0</v>
      </c>
      <c r="B54" s="7" t="s">
        <v>58</v>
      </c>
      <c r="C54" s="4">
        <f t="shared" si="1"/>
        <v>0.6111111111</v>
      </c>
      <c r="D54" s="5">
        <f>tide!$A54+tide!$C54</f>
        <v>41863.61111</v>
      </c>
      <c r="E54" s="1">
        <v>3.2</v>
      </c>
      <c r="F54" s="6">
        <f>tide!$E54*0.3048</f>
        <v>0.97536</v>
      </c>
    </row>
    <row r="55" ht="14.25" customHeight="1">
      <c r="A55" s="2">
        <v>41863.0</v>
      </c>
      <c r="B55" s="7" t="s">
        <v>59</v>
      </c>
      <c r="C55" s="4">
        <f t="shared" si="1"/>
        <v>0.6180555556</v>
      </c>
      <c r="D55" s="5">
        <f>tide!$A55+tide!$C55</f>
        <v>41863.61806</v>
      </c>
      <c r="E55" s="1">
        <v>3.5</v>
      </c>
      <c r="F55" s="6">
        <f>tide!$E55*0.3048</f>
        <v>1.0668</v>
      </c>
    </row>
    <row r="56" ht="14.25" customHeight="1">
      <c r="A56" s="2">
        <v>41863.0</v>
      </c>
      <c r="B56" s="7" t="s">
        <v>60</v>
      </c>
      <c r="C56" s="4">
        <f t="shared" si="1"/>
        <v>0.625</v>
      </c>
      <c r="D56" s="5">
        <f>tide!$A56+tide!$C56</f>
        <v>41863.625</v>
      </c>
      <c r="E56" s="1">
        <v>3.8</v>
      </c>
      <c r="F56" s="6">
        <f>tide!$E56*0.3048</f>
        <v>1.15824</v>
      </c>
    </row>
    <row r="57" ht="14.25" customHeight="1">
      <c r="A57" s="2">
        <v>41863.0</v>
      </c>
      <c r="B57" s="7" t="s">
        <v>61</v>
      </c>
      <c r="C57" s="4">
        <f t="shared" si="1"/>
        <v>0.6319444444</v>
      </c>
      <c r="D57" s="5">
        <f>tide!$A57+tide!$C57</f>
        <v>41863.63194</v>
      </c>
      <c r="E57" s="1">
        <v>4.1</v>
      </c>
      <c r="F57" s="6">
        <f>tide!$E57*0.3048</f>
        <v>1.24968</v>
      </c>
    </row>
    <row r="58" ht="14.25" customHeight="1">
      <c r="A58" s="2">
        <v>41863.0</v>
      </c>
      <c r="B58" s="7" t="s">
        <v>62</v>
      </c>
      <c r="C58" s="4">
        <f t="shared" si="1"/>
        <v>0.6388888889</v>
      </c>
      <c r="D58" s="5">
        <f>tide!$A58+tide!$C58</f>
        <v>41863.63889</v>
      </c>
      <c r="E58" s="1">
        <v>4.5</v>
      </c>
      <c r="F58" s="6">
        <f>tide!$E58*0.3048</f>
        <v>1.3716</v>
      </c>
    </row>
    <row r="59" ht="14.25" customHeight="1">
      <c r="A59" s="2">
        <v>41863.0</v>
      </c>
      <c r="B59" s="7" t="s">
        <v>63</v>
      </c>
      <c r="C59" s="4">
        <f t="shared" si="1"/>
        <v>0.6458333333</v>
      </c>
      <c r="D59" s="5">
        <f>tide!$A59+tide!$C59</f>
        <v>41863.64583</v>
      </c>
      <c r="E59" s="1">
        <v>4.8</v>
      </c>
      <c r="F59" s="6">
        <f>tide!$E59*0.3048</f>
        <v>1.46304</v>
      </c>
    </row>
    <row r="60" ht="14.25" customHeight="1">
      <c r="A60" s="2">
        <v>41863.0</v>
      </c>
      <c r="B60" s="7" t="s">
        <v>64</v>
      </c>
      <c r="C60" s="4">
        <f t="shared" si="1"/>
        <v>0.6527777778</v>
      </c>
      <c r="D60" s="5">
        <f>tide!$A60+tide!$C60</f>
        <v>41863.65278</v>
      </c>
      <c r="E60" s="1">
        <v>5.1</v>
      </c>
      <c r="F60" s="6">
        <f>tide!$E60*0.3048</f>
        <v>1.55448</v>
      </c>
    </row>
    <row r="61" ht="14.25" customHeight="1">
      <c r="A61" s="2">
        <v>41863.0</v>
      </c>
      <c r="B61" s="7" t="s">
        <v>65</v>
      </c>
      <c r="C61" s="4">
        <f t="shared" si="1"/>
        <v>0.6597222222</v>
      </c>
      <c r="D61" s="5">
        <f>tide!$A61+tide!$C61</f>
        <v>41863.65972</v>
      </c>
      <c r="E61" s="1">
        <v>5.5</v>
      </c>
      <c r="F61" s="6">
        <f>tide!$E61*0.3048</f>
        <v>1.6764</v>
      </c>
    </row>
    <row r="62" ht="14.25" customHeight="1">
      <c r="A62" s="2">
        <v>41863.0</v>
      </c>
      <c r="B62" s="7" t="s">
        <v>66</v>
      </c>
      <c r="C62" s="4">
        <f t="shared" si="1"/>
        <v>0.6666666667</v>
      </c>
      <c r="D62" s="5">
        <f>tide!$A62+tide!$C62</f>
        <v>41863.66667</v>
      </c>
      <c r="E62" s="1">
        <v>5.8</v>
      </c>
      <c r="F62" s="6">
        <f>tide!$E62*0.3048</f>
        <v>1.76784</v>
      </c>
    </row>
    <row r="63" ht="14.25" customHeight="1">
      <c r="A63" s="2">
        <v>41863.0</v>
      </c>
      <c r="B63" s="7" t="s">
        <v>67</v>
      </c>
      <c r="C63" s="4">
        <f t="shared" si="1"/>
        <v>0.6736111111</v>
      </c>
      <c r="D63" s="5">
        <f>tide!$A63+tide!$C63</f>
        <v>41863.67361</v>
      </c>
      <c r="E63" s="1">
        <v>6.1</v>
      </c>
      <c r="F63" s="6">
        <f>tide!$E63*0.3048</f>
        <v>1.85928</v>
      </c>
    </row>
    <row r="64" ht="14.25" customHeight="1">
      <c r="A64" s="2">
        <v>41863.0</v>
      </c>
      <c r="B64" s="7" t="s">
        <v>68</v>
      </c>
      <c r="C64" s="4">
        <f t="shared" si="1"/>
        <v>0.6805555556</v>
      </c>
      <c r="D64" s="5">
        <f>tide!$A64+tide!$C64</f>
        <v>41863.68056</v>
      </c>
      <c r="E64" s="1">
        <v>6.4</v>
      </c>
      <c r="F64" s="6">
        <f>tide!$E64*0.3048</f>
        <v>1.95072</v>
      </c>
    </row>
    <row r="65" ht="14.25" customHeight="1">
      <c r="A65" s="2">
        <v>41863.0</v>
      </c>
      <c r="B65" s="7" t="s">
        <v>69</v>
      </c>
      <c r="C65" s="4">
        <f t="shared" si="1"/>
        <v>0.6875</v>
      </c>
      <c r="D65" s="5">
        <f>tide!$A65+tide!$C65</f>
        <v>41863.6875</v>
      </c>
      <c r="E65" s="1">
        <v>6.7</v>
      </c>
      <c r="F65" s="6">
        <f>tide!$E65*0.3048</f>
        <v>2.04216</v>
      </c>
    </row>
    <row r="66" ht="14.25" customHeight="1">
      <c r="A66" s="2">
        <v>41863.0</v>
      </c>
      <c r="B66" s="7" t="s">
        <v>70</v>
      </c>
      <c r="C66" s="4">
        <f t="shared" si="1"/>
        <v>0.6944444444</v>
      </c>
      <c r="D66" s="5">
        <f>tide!$A66+tide!$C66</f>
        <v>41863.69444</v>
      </c>
      <c r="E66" s="1">
        <v>7.0</v>
      </c>
      <c r="F66" s="6">
        <f>tide!$E66*0.3048</f>
        <v>2.1336</v>
      </c>
    </row>
    <row r="67" ht="14.25" customHeight="1">
      <c r="A67" s="2">
        <v>41863.0</v>
      </c>
      <c r="B67" s="7" t="s">
        <v>71</v>
      </c>
      <c r="C67" s="4">
        <f t="shared" si="1"/>
        <v>0.7013888889</v>
      </c>
      <c r="D67" s="5">
        <f>tide!$A67+tide!$C67</f>
        <v>41863.70139</v>
      </c>
      <c r="E67" s="1">
        <v>7.2</v>
      </c>
      <c r="F67" s="6">
        <f>tide!$E67*0.3048</f>
        <v>2.19456</v>
      </c>
    </row>
    <row r="68" ht="14.25" customHeight="1">
      <c r="A68" s="2">
        <v>41863.0</v>
      </c>
      <c r="B68" s="7" t="s">
        <v>72</v>
      </c>
      <c r="C68" s="4">
        <f t="shared" si="1"/>
        <v>0.7083333333</v>
      </c>
      <c r="D68" s="5">
        <f>tide!$A68+tide!$C68</f>
        <v>41863.70833</v>
      </c>
      <c r="E68" s="1">
        <v>7.4</v>
      </c>
      <c r="F68" s="6">
        <f>tide!$E68*0.3048</f>
        <v>2.25552</v>
      </c>
    </row>
    <row r="69" ht="14.25" customHeight="1">
      <c r="A69" s="2">
        <v>41863.0</v>
      </c>
      <c r="B69" s="7" t="s">
        <v>73</v>
      </c>
      <c r="C69" s="4">
        <f t="shared" si="1"/>
        <v>0.7152777778</v>
      </c>
      <c r="D69" s="5">
        <f>tide!$A69+tide!$C69</f>
        <v>41863.71528</v>
      </c>
      <c r="E69" s="1">
        <v>7.6</v>
      </c>
      <c r="F69" s="6">
        <f>tide!$E69*0.3048</f>
        <v>2.31648</v>
      </c>
    </row>
    <row r="70" ht="14.25" customHeight="1">
      <c r="A70" s="2">
        <v>41863.0</v>
      </c>
      <c r="B70" s="7" t="s">
        <v>74</v>
      </c>
      <c r="C70" s="4">
        <f t="shared" si="1"/>
        <v>0.7222222222</v>
      </c>
      <c r="D70" s="5">
        <f>tide!$A70+tide!$C70</f>
        <v>41863.72222</v>
      </c>
      <c r="E70" s="1">
        <v>7.8</v>
      </c>
      <c r="F70" s="6">
        <f>tide!$E70*0.3048</f>
        <v>2.37744</v>
      </c>
    </row>
    <row r="71" ht="14.25" customHeight="1">
      <c r="A71" s="2">
        <v>41863.0</v>
      </c>
      <c r="B71" s="7" t="s">
        <v>75</v>
      </c>
      <c r="C71" s="4">
        <f t="shared" si="1"/>
        <v>0.7291666667</v>
      </c>
      <c r="D71" s="5">
        <f>tide!$A71+tide!$C71</f>
        <v>41863.72917</v>
      </c>
      <c r="E71" s="1">
        <v>8.0</v>
      </c>
      <c r="F71" s="6">
        <f>tide!$E71*0.3048</f>
        <v>2.4384</v>
      </c>
    </row>
    <row r="72" ht="14.25" customHeight="1">
      <c r="A72" s="2">
        <v>41863.0</v>
      </c>
      <c r="B72" s="7" t="s">
        <v>76</v>
      </c>
      <c r="C72" s="4">
        <f t="shared" si="1"/>
        <v>0.7361111111</v>
      </c>
      <c r="D72" s="5">
        <f>tide!$A72+tide!$C72</f>
        <v>41863.73611</v>
      </c>
      <c r="E72" s="1">
        <v>8.1</v>
      </c>
      <c r="F72" s="6">
        <f>tide!$E72*0.3048</f>
        <v>2.46888</v>
      </c>
    </row>
    <row r="73" ht="14.25" customHeight="1">
      <c r="A73" s="2">
        <v>41863.0</v>
      </c>
      <c r="B73" s="7" t="s">
        <v>77</v>
      </c>
      <c r="C73" s="4">
        <f t="shared" si="1"/>
        <v>0.7430555556</v>
      </c>
      <c r="D73" s="5">
        <f>tide!$A73+tide!$C73</f>
        <v>41863.74306</v>
      </c>
      <c r="E73" s="1">
        <v>8.2</v>
      </c>
      <c r="F73" s="6">
        <f>tide!$E73*0.3048</f>
        <v>2.49936</v>
      </c>
    </row>
    <row r="74" ht="14.25" customHeight="1">
      <c r="A74" s="2">
        <v>41863.0</v>
      </c>
      <c r="B74" s="7" t="s">
        <v>78</v>
      </c>
      <c r="C74" s="4">
        <f t="shared" si="1"/>
        <v>0.75</v>
      </c>
      <c r="D74" s="5">
        <f>tide!$A74+tide!$C74</f>
        <v>41863.75</v>
      </c>
      <c r="E74" s="1">
        <v>8.3</v>
      </c>
      <c r="F74" s="6">
        <f>tide!$E74*0.3048</f>
        <v>2.52984</v>
      </c>
    </row>
    <row r="75" ht="14.25" customHeight="1">
      <c r="A75" s="2">
        <v>41863.0</v>
      </c>
      <c r="B75" s="7" t="s">
        <v>79</v>
      </c>
      <c r="C75" s="4">
        <f t="shared" si="1"/>
        <v>0.7569444444</v>
      </c>
      <c r="D75" s="5">
        <f>tide!$A75+tide!$C75</f>
        <v>41863.75694</v>
      </c>
      <c r="E75" s="1">
        <v>8.3</v>
      </c>
      <c r="F75" s="6">
        <f>tide!$E75*0.3048</f>
        <v>2.52984</v>
      </c>
    </row>
    <row r="76" ht="14.25" customHeight="1">
      <c r="A76" s="2">
        <v>41863.0</v>
      </c>
      <c r="B76" s="7" t="s">
        <v>80</v>
      </c>
      <c r="C76" s="4">
        <f t="shared" si="1"/>
        <v>0.7638888889</v>
      </c>
      <c r="D76" s="5">
        <f>tide!$A76+tide!$C76</f>
        <v>41863.76389</v>
      </c>
      <c r="E76" s="1">
        <v>8.3</v>
      </c>
      <c r="F76" s="6">
        <f>tide!$E76*0.3048</f>
        <v>2.52984</v>
      </c>
    </row>
    <row r="77" ht="14.25" customHeight="1">
      <c r="A77" s="2">
        <v>41863.0</v>
      </c>
      <c r="B77" s="7" t="s">
        <v>81</v>
      </c>
      <c r="C77" s="4">
        <f t="shared" si="1"/>
        <v>0.7708333333</v>
      </c>
      <c r="D77" s="5">
        <f>tide!$A77+tide!$C77</f>
        <v>41863.77083</v>
      </c>
      <c r="E77" s="1">
        <v>8.3</v>
      </c>
      <c r="F77" s="6">
        <f>tide!$E77*0.3048</f>
        <v>2.52984</v>
      </c>
    </row>
    <row r="78" ht="14.25" customHeight="1">
      <c r="A78" s="2">
        <v>41863.0</v>
      </c>
      <c r="B78" s="7" t="s">
        <v>82</v>
      </c>
      <c r="C78" s="4">
        <f t="shared" si="1"/>
        <v>0.7777777778</v>
      </c>
      <c r="D78" s="5">
        <f>tide!$A78+tide!$C78</f>
        <v>41863.77778</v>
      </c>
      <c r="E78" s="1">
        <v>8.2</v>
      </c>
      <c r="F78" s="6">
        <f>tide!$E78*0.3048</f>
        <v>2.49936</v>
      </c>
    </row>
    <row r="79" ht="14.25" customHeight="1">
      <c r="A79" s="2">
        <v>41863.0</v>
      </c>
      <c r="B79" s="7" t="s">
        <v>83</v>
      </c>
      <c r="C79" s="4">
        <f t="shared" si="1"/>
        <v>0.7847222222</v>
      </c>
      <c r="D79" s="5">
        <f>tide!$A79+tide!$C79</f>
        <v>41863.78472</v>
      </c>
      <c r="E79" s="1">
        <v>8.2</v>
      </c>
      <c r="F79" s="6">
        <f>tide!$E79*0.3048</f>
        <v>2.49936</v>
      </c>
    </row>
    <row r="80" ht="14.25" customHeight="1">
      <c r="A80" s="2">
        <v>41863.0</v>
      </c>
      <c r="B80" s="7" t="s">
        <v>84</v>
      </c>
      <c r="C80" s="4">
        <f t="shared" si="1"/>
        <v>0.7916666667</v>
      </c>
      <c r="D80" s="5">
        <f>tide!$A80+tide!$C80</f>
        <v>41863.79167</v>
      </c>
      <c r="E80" s="1">
        <v>8.1</v>
      </c>
      <c r="F80" s="6">
        <f>tide!$E80*0.3048</f>
        <v>2.46888</v>
      </c>
    </row>
    <row r="81" ht="14.25" customHeight="1">
      <c r="A81" s="2">
        <v>41863.0</v>
      </c>
      <c r="B81" s="7" t="s">
        <v>85</v>
      </c>
      <c r="C81" s="4">
        <f t="shared" si="1"/>
        <v>0.7986111111</v>
      </c>
      <c r="D81" s="5">
        <f>tide!$A81+tide!$C81</f>
        <v>41863.79861</v>
      </c>
      <c r="E81" s="1">
        <v>8.0</v>
      </c>
      <c r="F81" s="6">
        <f>tide!$E81*0.3048</f>
        <v>2.4384</v>
      </c>
    </row>
    <row r="82" ht="14.25" customHeight="1">
      <c r="A82" s="2">
        <v>41863.0</v>
      </c>
      <c r="B82" s="7" t="s">
        <v>86</v>
      </c>
      <c r="C82" s="4">
        <f t="shared" si="1"/>
        <v>0.8055555556</v>
      </c>
      <c r="D82" s="5">
        <f>tide!$A82+tide!$C82</f>
        <v>41863.80556</v>
      </c>
      <c r="E82" s="1">
        <v>7.9</v>
      </c>
      <c r="F82" s="6">
        <f>tide!$E82*0.3048</f>
        <v>2.40792</v>
      </c>
    </row>
    <row r="83" ht="14.25" customHeight="1">
      <c r="A83" s="2">
        <v>41863.0</v>
      </c>
      <c r="B83" s="7" t="s">
        <v>87</v>
      </c>
      <c r="C83" s="4">
        <f t="shared" si="1"/>
        <v>0.8125</v>
      </c>
      <c r="D83" s="5">
        <f>tide!$A83+tide!$C83</f>
        <v>41863.8125</v>
      </c>
      <c r="E83" s="1">
        <v>7.7</v>
      </c>
      <c r="F83" s="6">
        <f>tide!$E83*0.3048</f>
        <v>2.34696</v>
      </c>
    </row>
    <row r="84" ht="14.25" customHeight="1">
      <c r="A84" s="2">
        <v>41863.0</v>
      </c>
      <c r="B84" s="7" t="s">
        <v>88</v>
      </c>
      <c r="C84" s="4">
        <f t="shared" si="1"/>
        <v>0.8194444444</v>
      </c>
      <c r="D84" s="5">
        <f>tide!$A84+tide!$C84</f>
        <v>41863.81944</v>
      </c>
      <c r="E84" s="1">
        <v>7.6</v>
      </c>
      <c r="F84" s="6">
        <f>tide!$E84*0.3048</f>
        <v>2.31648</v>
      </c>
    </row>
    <row r="85" ht="14.25" customHeight="1">
      <c r="A85" s="2">
        <v>41863.0</v>
      </c>
      <c r="B85" s="7" t="s">
        <v>89</v>
      </c>
      <c r="C85" s="4">
        <f t="shared" si="1"/>
        <v>0.8263888889</v>
      </c>
      <c r="D85" s="5">
        <f>tide!$A85+tide!$C85</f>
        <v>41863.82639</v>
      </c>
      <c r="E85" s="1">
        <v>7.4</v>
      </c>
      <c r="F85" s="6">
        <f>tide!$E85*0.3048</f>
        <v>2.25552</v>
      </c>
    </row>
    <row r="86" ht="14.25" customHeight="1">
      <c r="A86" s="2">
        <v>41863.0</v>
      </c>
      <c r="B86" s="7" t="s">
        <v>90</v>
      </c>
      <c r="C86" s="4">
        <f t="shared" si="1"/>
        <v>0.8333333333</v>
      </c>
      <c r="D86" s="5">
        <f>tide!$A86+tide!$C86</f>
        <v>41863.83333</v>
      </c>
      <c r="E86" s="1">
        <v>7.2</v>
      </c>
      <c r="F86" s="6">
        <f>tide!$E86*0.3048</f>
        <v>2.19456</v>
      </c>
    </row>
    <row r="87" ht="14.25" customHeight="1">
      <c r="A87" s="2">
        <v>41863.0</v>
      </c>
      <c r="B87" s="7" t="s">
        <v>91</v>
      </c>
      <c r="C87" s="4">
        <f t="shared" si="1"/>
        <v>0.8402777778</v>
      </c>
      <c r="D87" s="5">
        <f>tide!$A87+tide!$C87</f>
        <v>41863.84028</v>
      </c>
      <c r="E87" s="1">
        <v>6.9</v>
      </c>
      <c r="F87" s="6">
        <f>tide!$E87*0.3048</f>
        <v>2.10312</v>
      </c>
    </row>
    <row r="88" ht="14.25" customHeight="1">
      <c r="A88" s="2">
        <v>41863.0</v>
      </c>
      <c r="B88" s="7" t="s">
        <v>92</v>
      </c>
      <c r="C88" s="4">
        <f t="shared" si="1"/>
        <v>0.8472222222</v>
      </c>
      <c r="D88" s="5">
        <f>tide!$A88+tide!$C88</f>
        <v>41863.84722</v>
      </c>
      <c r="E88" s="1">
        <v>6.7</v>
      </c>
      <c r="F88" s="6">
        <f>tide!$E88*0.3048</f>
        <v>2.04216</v>
      </c>
    </row>
    <row r="89" ht="14.25" customHeight="1">
      <c r="A89" s="2">
        <v>41863.0</v>
      </c>
      <c r="B89" s="7" t="s">
        <v>93</v>
      </c>
      <c r="C89" s="4">
        <f t="shared" si="1"/>
        <v>0.8541666667</v>
      </c>
      <c r="D89" s="5">
        <f>tide!$A89+tide!$C89</f>
        <v>41863.85417</v>
      </c>
      <c r="E89" s="1">
        <v>6.5</v>
      </c>
      <c r="F89" s="6">
        <f>tide!$E89*0.3048</f>
        <v>1.9812</v>
      </c>
    </row>
    <row r="90" ht="14.25" customHeight="1">
      <c r="A90" s="2">
        <v>41863.0</v>
      </c>
      <c r="B90" s="7" t="s">
        <v>94</v>
      </c>
      <c r="C90" s="4">
        <f t="shared" si="1"/>
        <v>0.8611111111</v>
      </c>
      <c r="D90" s="5">
        <f>tide!$A90+tide!$C90</f>
        <v>41863.86111</v>
      </c>
      <c r="E90" s="1">
        <v>6.3</v>
      </c>
      <c r="F90" s="6">
        <f>tide!$E90*0.3048</f>
        <v>1.92024</v>
      </c>
    </row>
    <row r="91" ht="14.25" customHeight="1">
      <c r="A91" s="2">
        <v>41863.0</v>
      </c>
      <c r="B91" s="7" t="s">
        <v>95</v>
      </c>
      <c r="C91" s="4">
        <f t="shared" si="1"/>
        <v>0.8680555556</v>
      </c>
      <c r="D91" s="5">
        <f>tide!$A91+tide!$C91</f>
        <v>41863.86806</v>
      </c>
      <c r="E91" s="1">
        <v>6.0</v>
      </c>
      <c r="F91" s="6">
        <f>tide!$E91*0.3048</f>
        <v>1.8288</v>
      </c>
    </row>
    <row r="92" ht="14.25" customHeight="1">
      <c r="A92" s="2">
        <v>41863.0</v>
      </c>
      <c r="B92" s="7" t="s">
        <v>96</v>
      </c>
      <c r="C92" s="4">
        <f t="shared" si="1"/>
        <v>0.875</v>
      </c>
      <c r="D92" s="5">
        <f>tide!$A92+tide!$C92</f>
        <v>41863.875</v>
      </c>
      <c r="E92" s="1">
        <v>5.8</v>
      </c>
      <c r="F92" s="6">
        <f>tide!$E92*0.3048</f>
        <v>1.76784</v>
      </c>
    </row>
    <row r="93" ht="14.25" customHeight="1">
      <c r="A93" s="2">
        <v>41863.0</v>
      </c>
      <c r="B93" s="7" t="s">
        <v>97</v>
      </c>
      <c r="C93" s="4">
        <f t="shared" si="1"/>
        <v>0.8819444444</v>
      </c>
      <c r="D93" s="5">
        <f>tide!$A93+tide!$C93</f>
        <v>41863.88194</v>
      </c>
      <c r="E93" s="1">
        <v>5.5</v>
      </c>
      <c r="F93" s="6">
        <f>tide!$E93*0.3048</f>
        <v>1.6764</v>
      </c>
    </row>
    <row r="94" ht="14.25" customHeight="1">
      <c r="A94" s="2">
        <v>41863.0</v>
      </c>
      <c r="B94" s="7" t="s">
        <v>98</v>
      </c>
      <c r="C94" s="4">
        <f t="shared" si="1"/>
        <v>0.8888888889</v>
      </c>
      <c r="D94" s="5">
        <f>tide!$A94+tide!$C94</f>
        <v>41863.88889</v>
      </c>
      <c r="E94" s="1">
        <v>5.2</v>
      </c>
      <c r="F94" s="6">
        <f>tide!$E94*0.3048</f>
        <v>1.58496</v>
      </c>
    </row>
    <row r="95" ht="14.25" customHeight="1">
      <c r="A95" s="2">
        <v>41863.0</v>
      </c>
      <c r="B95" s="7" t="s">
        <v>99</v>
      </c>
      <c r="C95" s="4">
        <f t="shared" si="1"/>
        <v>0.8958333333</v>
      </c>
      <c r="D95" s="5">
        <f>tide!$A95+tide!$C95</f>
        <v>41863.89583</v>
      </c>
      <c r="E95" s="1">
        <v>5.0</v>
      </c>
      <c r="F95" s="6">
        <f>tide!$E95*0.3048</f>
        <v>1.524</v>
      </c>
    </row>
    <row r="96" ht="14.25" customHeight="1">
      <c r="A96" s="2">
        <v>41863.0</v>
      </c>
      <c r="B96" s="7" t="s">
        <v>100</v>
      </c>
      <c r="C96" s="4">
        <f t="shared" si="1"/>
        <v>0.9027777778</v>
      </c>
      <c r="D96" s="5">
        <f>tide!$A96+tide!$C96</f>
        <v>41863.90278</v>
      </c>
      <c r="E96" s="1">
        <v>4.7</v>
      </c>
      <c r="F96" s="6">
        <f>tide!$E96*0.3048</f>
        <v>1.43256</v>
      </c>
    </row>
    <row r="97" ht="14.25" customHeight="1">
      <c r="A97" s="2">
        <v>41863.0</v>
      </c>
      <c r="B97" s="7" t="s">
        <v>101</v>
      </c>
      <c r="C97" s="4">
        <f t="shared" si="1"/>
        <v>0.9097222222</v>
      </c>
      <c r="D97" s="5">
        <f>tide!$A97+tide!$C97</f>
        <v>41863.90972</v>
      </c>
      <c r="E97" s="1">
        <v>4.5</v>
      </c>
      <c r="F97" s="6">
        <f>tide!$E97*0.3048</f>
        <v>1.3716</v>
      </c>
    </row>
    <row r="98" ht="14.25" customHeight="1">
      <c r="A98" s="2">
        <v>41863.0</v>
      </c>
      <c r="B98" s="7" t="s">
        <v>102</v>
      </c>
      <c r="C98" s="4">
        <f t="shared" si="1"/>
        <v>0.9166666667</v>
      </c>
      <c r="D98" s="5">
        <f>tide!$A98+tide!$C98</f>
        <v>41863.91667</v>
      </c>
      <c r="E98" s="1">
        <v>4.2</v>
      </c>
      <c r="F98" s="6">
        <f>tide!$E98*0.3048</f>
        <v>1.28016</v>
      </c>
    </row>
    <row r="99" ht="14.25" customHeight="1">
      <c r="A99" s="2">
        <v>41863.0</v>
      </c>
      <c r="B99" s="7" t="s">
        <v>103</v>
      </c>
      <c r="C99" s="4">
        <f t="shared" si="1"/>
        <v>0.9444444444</v>
      </c>
      <c r="D99" s="5">
        <f>tide!$A99+tide!$C99</f>
        <v>41863.94444</v>
      </c>
      <c r="E99" s="1">
        <v>3.4</v>
      </c>
      <c r="F99" s="6">
        <f>tide!$E99*0.3048</f>
        <v>1.03632</v>
      </c>
    </row>
    <row r="100" ht="14.25" customHeight="1">
      <c r="A100" s="2">
        <v>41863.0</v>
      </c>
      <c r="B100" s="7" t="s">
        <v>104</v>
      </c>
      <c r="C100" s="4">
        <f t="shared" si="1"/>
        <v>0.9513888889</v>
      </c>
      <c r="D100" s="5">
        <f>tide!$A100+tide!$C100</f>
        <v>41863.95139</v>
      </c>
      <c r="E100" s="1">
        <v>3.3</v>
      </c>
      <c r="F100" s="6">
        <f>tide!$E100*0.3048</f>
        <v>1.00584</v>
      </c>
    </row>
    <row r="101" ht="14.25" customHeight="1">
      <c r="A101" s="2">
        <v>41863.0</v>
      </c>
      <c r="B101" s="7" t="s">
        <v>105</v>
      </c>
      <c r="C101" s="4">
        <f t="shared" si="1"/>
        <v>0.9583333333</v>
      </c>
      <c r="D101" s="5">
        <f>tide!$A101+tide!$C101</f>
        <v>41863.95833</v>
      </c>
      <c r="E101" s="1">
        <v>3.1</v>
      </c>
      <c r="F101" s="6">
        <f>tide!$E101*0.3048</f>
        <v>0.94488</v>
      </c>
    </row>
    <row r="102" ht="14.25" customHeight="1">
      <c r="A102" s="2">
        <v>41863.0</v>
      </c>
      <c r="B102" s="7" t="s">
        <v>106</v>
      </c>
      <c r="C102" s="4">
        <f t="shared" si="1"/>
        <v>0.9652777778</v>
      </c>
      <c r="D102" s="5">
        <f>tide!$A102+tide!$C102</f>
        <v>41863.96528</v>
      </c>
      <c r="E102" s="1">
        <v>3.0</v>
      </c>
      <c r="F102" s="6">
        <f>tide!$E102*0.3048</f>
        <v>0.9144</v>
      </c>
    </row>
    <row r="103" ht="14.25" customHeight="1">
      <c r="A103" s="2">
        <v>41863.0</v>
      </c>
      <c r="B103" s="7" t="s">
        <v>107</v>
      </c>
      <c r="C103" s="4">
        <f t="shared" si="1"/>
        <v>0.9722222222</v>
      </c>
      <c r="D103" s="5">
        <f>tide!$A103+tide!$C103</f>
        <v>41863.97222</v>
      </c>
      <c r="E103" s="1">
        <v>2.9</v>
      </c>
      <c r="F103" s="6">
        <f>tide!$E103*0.3048</f>
        <v>0.88392</v>
      </c>
    </row>
    <row r="104" ht="14.25" customHeight="1">
      <c r="A104" s="2">
        <v>41863.0</v>
      </c>
      <c r="B104" s="7" t="s">
        <v>108</v>
      </c>
      <c r="C104" s="4">
        <f t="shared" si="1"/>
        <v>0.9791666667</v>
      </c>
      <c r="D104" s="5">
        <f>tide!$A104+tide!$C104</f>
        <v>41863.97917</v>
      </c>
      <c r="E104" s="1">
        <v>2.8</v>
      </c>
      <c r="F104" s="6">
        <f>tide!$E104*0.3048</f>
        <v>0.85344</v>
      </c>
    </row>
    <row r="105" ht="14.25" customHeight="1">
      <c r="A105" s="2">
        <v>41863.0</v>
      </c>
      <c r="B105" s="7" t="s">
        <v>109</v>
      </c>
      <c r="C105" s="4">
        <f t="shared" si="1"/>
        <v>0.9861111111</v>
      </c>
      <c r="D105" s="5">
        <f>tide!$A105+tide!$C105</f>
        <v>41863.98611</v>
      </c>
      <c r="E105" s="1">
        <v>2.7</v>
      </c>
      <c r="F105" s="6">
        <f>tide!$E105*0.3048</f>
        <v>0.82296</v>
      </c>
    </row>
    <row r="106" ht="14.25" customHeight="1">
      <c r="A106" s="2">
        <v>41863.0</v>
      </c>
      <c r="B106" s="7" t="s">
        <v>110</v>
      </c>
      <c r="C106" s="4">
        <f t="shared" si="1"/>
        <v>0.9930555556</v>
      </c>
      <c r="D106" s="5">
        <f>tide!$A106+tide!$C106</f>
        <v>41863.99306</v>
      </c>
      <c r="E106" s="1">
        <v>2.6</v>
      </c>
      <c r="F106" s="6">
        <f>tide!$E106*0.3048</f>
        <v>0.79248</v>
      </c>
    </row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9.13"/>
    <col customWidth="1" min="3" max="3" width="11.88"/>
    <col customWidth="1" min="4" max="4" width="8.63"/>
    <col customWidth="1" min="5" max="5" width="14.13"/>
    <col customWidth="1" min="6" max="7" width="8.63"/>
    <col customWidth="1" min="8" max="8" width="9.5"/>
    <col customWidth="1" min="9" max="9" width="9.38"/>
    <col customWidth="1" min="10" max="11" width="11.25"/>
    <col customWidth="1" min="12" max="26" width="8.63"/>
  </cols>
  <sheetData>
    <row r="1" ht="14.25" customHeight="1">
      <c r="A1" s="1" t="s">
        <v>3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</row>
    <row r="2" ht="14.25" customHeight="1">
      <c r="A2" s="5">
        <v>41863.31584490741</v>
      </c>
      <c r="B2" s="6">
        <v>17.72674560546875</v>
      </c>
      <c r="C2" s="8">
        <v>48147.609375</v>
      </c>
      <c r="D2" s="6">
        <v>31.450490951538086</v>
      </c>
      <c r="E2" s="9">
        <v>-0.07938575744628906</v>
      </c>
      <c r="F2" s="6">
        <v>8.1732177734375</v>
      </c>
      <c r="G2" s="10">
        <v>-81.23779296875</v>
      </c>
      <c r="H2" s="6">
        <v>7.3028564453125</v>
      </c>
      <c r="I2" s="6">
        <v>1.7425537109375</v>
      </c>
      <c r="J2" s="10">
        <v>103.28598022460938</v>
      </c>
      <c r="K2" s="6">
        <v>8.141839027404785</v>
      </c>
    </row>
    <row r="3" ht="14.25" customHeight="1">
      <c r="A3" s="5">
        <v>41863.31585648148</v>
      </c>
      <c r="B3" s="6">
        <v>17.7349853515625</v>
      </c>
      <c r="C3" s="8">
        <v>48172.83203125</v>
      </c>
      <c r="D3" s="6">
        <v>31.468908309936523</v>
      </c>
      <c r="E3" s="9">
        <v>-0.06719779968261719</v>
      </c>
      <c r="F3" s="6">
        <v>8.192230224609375</v>
      </c>
      <c r="G3" s="10">
        <v>-82.33642578125</v>
      </c>
      <c r="H3" s="6">
        <v>7.495880126953125</v>
      </c>
      <c r="I3" s="6">
        <v>1.792144775390625</v>
      </c>
      <c r="J3" s="10">
        <v>105.33370971679688</v>
      </c>
      <c r="K3" s="6">
        <v>8.300824165344238</v>
      </c>
    </row>
    <row r="4" ht="14.25" customHeight="1">
      <c r="A4" s="5">
        <v>41863.31586805556</v>
      </c>
      <c r="B4" s="6">
        <v>17.73956298828125</v>
      </c>
      <c r="C4" s="8">
        <v>48197.41796875</v>
      </c>
      <c r="D4" s="6">
        <v>31.486858367919922</v>
      </c>
      <c r="E4" s="9">
        <v>-0.04088306427001953</v>
      </c>
      <c r="F4" s="6">
        <v>8.200347900390625</v>
      </c>
      <c r="G4" s="10">
        <v>-82.763671875</v>
      </c>
      <c r="H4" s="6">
        <v>7.33642578125</v>
      </c>
      <c r="I4" s="6">
        <v>1.75018310546875</v>
      </c>
      <c r="J4" s="10">
        <v>106.365966796875</v>
      </c>
      <c r="K4" s="6">
        <v>8.38090991973877</v>
      </c>
    </row>
    <row r="5" ht="14.25" customHeight="1">
      <c r="A5" s="5">
        <v>41863.31586805556</v>
      </c>
      <c r="B5" s="6">
        <v>17.74688720703125</v>
      </c>
      <c r="C5" s="8">
        <v>48222.46484375</v>
      </c>
      <c r="D5" s="6">
        <v>31.505157470703125</v>
      </c>
      <c r="E5" s="9">
        <v>0.01115870475769043</v>
      </c>
      <c r="F5" s="6">
        <v>8.20782470703125</v>
      </c>
      <c r="G5" s="10">
        <v>-83.251953125</v>
      </c>
      <c r="H5" s="6">
        <v>7.15179443359375</v>
      </c>
      <c r="I5" s="6">
        <v>1.708221435546875</v>
      </c>
      <c r="J5" s="10">
        <v>107.36465454101562</v>
      </c>
      <c r="K5" s="6">
        <v>8.457096099853516</v>
      </c>
    </row>
    <row r="6" ht="14.25" customHeight="1">
      <c r="A6" s="5">
        <v>41863.31587962963</v>
      </c>
      <c r="B6" s="6">
        <v>17.7569580078125</v>
      </c>
      <c r="C6" s="8">
        <v>48226.4375</v>
      </c>
      <c r="D6" s="6">
        <v>31.508106231689453</v>
      </c>
      <c r="E6" s="9">
        <v>0.6784820556640625</v>
      </c>
      <c r="F6" s="6">
        <v>8.214874267578125</v>
      </c>
      <c r="G6" s="10">
        <v>-83.6181640625</v>
      </c>
      <c r="H6" s="6">
        <v>7.260894775390625</v>
      </c>
      <c r="I6" s="6">
        <v>1.73492431640625</v>
      </c>
      <c r="J6" s="10">
        <v>108.22906494140625</v>
      </c>
      <c r="K6" s="6">
        <v>8.523677825927734</v>
      </c>
    </row>
    <row r="7" ht="14.25" customHeight="1">
      <c r="A7" s="5">
        <v>41863.31587962963</v>
      </c>
      <c r="B7" s="6">
        <v>17.7642822265625</v>
      </c>
      <c r="C7" s="8">
        <v>48200.4765625</v>
      </c>
      <c r="D7" s="6">
        <v>31.48923683166504</v>
      </c>
      <c r="E7" s="9">
        <v>0.928466796875</v>
      </c>
      <c r="F7" s="6">
        <v>8.221710205078125</v>
      </c>
      <c r="G7" s="10">
        <v>-84.04541015625</v>
      </c>
      <c r="H7" s="6">
        <v>7.135009765625</v>
      </c>
      <c r="I7" s="6">
        <v>1.70440673828125</v>
      </c>
      <c r="J7" s="10">
        <v>108.48922729492188</v>
      </c>
      <c r="K7" s="6">
        <v>8.54388427734375</v>
      </c>
    </row>
    <row r="8" ht="14.25" customHeight="1">
      <c r="A8" s="5">
        <v>41863.3158912037</v>
      </c>
      <c r="B8" s="6">
        <v>17.74688720703125</v>
      </c>
      <c r="C8" s="8">
        <v>48144.25</v>
      </c>
      <c r="D8" s="6">
        <v>31.448158264160156</v>
      </c>
      <c r="E8" s="9">
        <v>1.14862060546875</v>
      </c>
      <c r="F8" s="6">
        <v>8.226837158203125</v>
      </c>
      <c r="G8" s="10">
        <v>-84.3505859375</v>
      </c>
      <c r="H8" s="6">
        <v>7.33642578125</v>
      </c>
      <c r="I8" s="6">
        <v>1.753997802734375</v>
      </c>
      <c r="J8" s="10">
        <v>108.32977294921875</v>
      </c>
      <c r="K8" s="6">
        <v>8.536039352416992</v>
      </c>
    </row>
    <row r="9" ht="14.25" customHeight="1">
      <c r="A9" s="5">
        <v>41863.3158912037</v>
      </c>
      <c r="B9" s="6">
        <v>17.685546875</v>
      </c>
      <c r="C9" s="8">
        <v>47008.82421875</v>
      </c>
      <c r="D9" s="6">
        <v>30.622146606445312</v>
      </c>
      <c r="E9" s="9">
        <v>1.358612060546875</v>
      </c>
      <c r="F9" s="6">
        <v>8.228759765625</v>
      </c>
      <c r="G9" s="10">
        <v>-84.41162109375</v>
      </c>
      <c r="H9" s="6">
        <v>7.48748779296875</v>
      </c>
      <c r="I9" s="6">
        <v>1.788330078125</v>
      </c>
      <c r="J9" s="10">
        <v>108.18710327148438</v>
      </c>
      <c r="K9" s="6">
        <v>8.577300071716309</v>
      </c>
    </row>
    <row r="10" ht="14.25" customHeight="1">
      <c r="A10" s="5">
        <v>41863.31590277778</v>
      </c>
      <c r="B10" s="6">
        <v>16.70684814453125</v>
      </c>
      <c r="C10" s="8">
        <v>45960.82421875</v>
      </c>
      <c r="D10" s="6">
        <v>29.855466842651367</v>
      </c>
      <c r="E10" s="9">
        <v>1.637359619140625</v>
      </c>
      <c r="F10" s="6">
        <v>8.229827880859375</v>
      </c>
      <c r="G10" s="10">
        <v>-84.228515625</v>
      </c>
      <c r="H10" s="6">
        <v>7.445526123046875</v>
      </c>
      <c r="I10" s="6">
        <v>1.776885986328125</v>
      </c>
      <c r="J10" s="10">
        <v>109.59701538085938</v>
      </c>
      <c r="K10" s="6">
        <v>8.896567344665527</v>
      </c>
    </row>
    <row r="11" ht="14.25" customHeight="1">
      <c r="A11" s="5">
        <v>41863.31590277778</v>
      </c>
      <c r="B11" s="6">
        <v>16.015625</v>
      </c>
      <c r="C11" s="8">
        <v>46537.69921875</v>
      </c>
      <c r="D11" s="6">
        <v>30.264083862304688</v>
      </c>
      <c r="E11" s="9">
        <v>1.862823486328125</v>
      </c>
      <c r="F11" s="6">
        <v>8.226409912109375</v>
      </c>
      <c r="G11" s="10">
        <v>-83.8623046875</v>
      </c>
      <c r="H11" s="6">
        <v>7.210540771484375</v>
      </c>
      <c r="I11" s="6">
        <v>1.723480224609375</v>
      </c>
      <c r="J11" s="10">
        <v>109.722900390625</v>
      </c>
      <c r="K11" s="6">
        <v>9.00578784942627</v>
      </c>
    </row>
    <row r="12" ht="14.25" customHeight="1">
      <c r="A12" s="5">
        <v>41863.31591435185</v>
      </c>
      <c r="B12" s="6">
        <v>15.37017822265625</v>
      </c>
      <c r="C12" s="8">
        <v>46454.515625</v>
      </c>
      <c r="D12" s="6">
        <v>30.193376541137695</v>
      </c>
      <c r="E12" s="9">
        <v>2.18115234375</v>
      </c>
      <c r="F12" s="6">
        <v>8.219146728515625</v>
      </c>
      <c r="G12" s="10">
        <v>-83.31298828125</v>
      </c>
      <c r="H12" s="6">
        <v>7.1685791015625</v>
      </c>
      <c r="I12" s="6">
        <v>1.7120361328125</v>
      </c>
      <c r="J12" s="10">
        <v>110.2264404296875</v>
      </c>
      <c r="K12" s="6">
        <v>9.168071746826172</v>
      </c>
    </row>
    <row r="13" ht="14.25" customHeight="1">
      <c r="A13" s="5">
        <v>41863.31591435185</v>
      </c>
      <c r="B13" s="6">
        <v>14.80255126953125</v>
      </c>
      <c r="C13" s="8">
        <v>47149.11328125</v>
      </c>
      <c r="D13" s="6">
        <v>30.684236526489258</v>
      </c>
      <c r="E13" s="9">
        <v>2.401123046875</v>
      </c>
      <c r="F13" s="6">
        <v>8.208892822265625</v>
      </c>
      <c r="G13" s="10">
        <v>-82.58056640625</v>
      </c>
      <c r="H13" s="6">
        <v>7.042694091796875</v>
      </c>
      <c r="I13" s="6">
        <v>1.6815185546875</v>
      </c>
      <c r="J13" s="10">
        <v>110.57052612304688</v>
      </c>
      <c r="K13" s="6">
        <v>9.273711204528809</v>
      </c>
    </row>
    <row r="14" ht="14.25" customHeight="1">
      <c r="A14" s="5">
        <v>41863.31592592593</v>
      </c>
      <c r="B14" s="6">
        <v>14.3585205078125</v>
      </c>
      <c r="C14" s="8">
        <v>47076.1484375</v>
      </c>
      <c r="D14" s="6">
        <v>30.620784759521484</v>
      </c>
      <c r="E14" s="9">
        <v>2.7447509765625</v>
      </c>
      <c r="F14" s="6">
        <v>8.196502685546875</v>
      </c>
      <c r="G14" s="10">
        <v>-81.72607421875</v>
      </c>
      <c r="H14" s="6">
        <v>6.91680908203125</v>
      </c>
      <c r="I14" s="6">
        <v>1.6510009765625</v>
      </c>
      <c r="J14" s="10">
        <v>110.71319580078125</v>
      </c>
      <c r="K14" s="6">
        <v>9.37326717376709</v>
      </c>
    </row>
    <row r="15" ht="14.25" customHeight="1">
      <c r="A15" s="5">
        <v>41863.31592592593</v>
      </c>
      <c r="B15" s="6">
        <v>13.97857666015625</v>
      </c>
      <c r="C15" s="8">
        <v>47511.33984375</v>
      </c>
      <c r="D15" s="6">
        <v>30.925424575805664</v>
      </c>
      <c r="E15" s="9">
        <v>2.833984375</v>
      </c>
      <c r="F15" s="6">
        <v>8.181121826171875</v>
      </c>
      <c r="G15" s="10">
        <v>-80.810546875</v>
      </c>
      <c r="H15" s="6">
        <v>7.2357177734375</v>
      </c>
      <c r="I15" s="6">
        <v>1.727294921875</v>
      </c>
      <c r="J15" s="10">
        <v>110.8306884765625</v>
      </c>
      <c r="K15" s="6">
        <v>9.438312530517578</v>
      </c>
    </row>
    <row r="16" ht="14.25" customHeight="1">
      <c r="A16" s="5">
        <v>41863.3159375</v>
      </c>
      <c r="B16" s="6">
        <v>13.690185546875</v>
      </c>
      <c r="C16" s="8">
        <v>47826.46875</v>
      </c>
      <c r="D16" s="6">
        <v>31.1450138092041</v>
      </c>
      <c r="E16" s="9">
        <v>2.99462890625</v>
      </c>
      <c r="F16" s="6">
        <v>8.165313720703125</v>
      </c>
      <c r="G16" s="10">
        <v>-79.833984375</v>
      </c>
      <c r="H16" s="6">
        <v>7.08465576171875</v>
      </c>
      <c r="I16" s="6">
        <v>1.692962646484375</v>
      </c>
      <c r="J16" s="10">
        <v>110.78872680664062</v>
      </c>
      <c r="K16" s="6">
        <v>9.477557182312012</v>
      </c>
    </row>
    <row r="17" ht="14.25" customHeight="1">
      <c r="A17" s="5">
        <v>41863.3159375</v>
      </c>
      <c r="B17" s="6">
        <v>13.47320556640625</v>
      </c>
      <c r="C17" s="8">
        <v>48043.06640625</v>
      </c>
      <c r="D17" s="6">
        <v>31.294981002807617</v>
      </c>
      <c r="E17" s="9">
        <v>3.28228759765625</v>
      </c>
      <c r="F17" s="6">
        <v>8.1484375</v>
      </c>
      <c r="G17" s="10">
        <v>-78.79638671875</v>
      </c>
      <c r="H17" s="6">
        <v>6.9671630859375</v>
      </c>
      <c r="I17" s="6">
        <v>1.666259765625</v>
      </c>
      <c r="J17" s="10">
        <v>110.65444946289062</v>
      </c>
      <c r="K17" s="6">
        <v>9.499595642089844</v>
      </c>
    </row>
    <row r="18" ht="14.25" customHeight="1">
      <c r="A18" s="5">
        <v>41863.31594907407</v>
      </c>
      <c r="B18" s="6">
        <v>13.31024169921875</v>
      </c>
      <c r="C18" s="8">
        <v>48226.79296875</v>
      </c>
      <c r="D18" s="6">
        <v>31.42263412475586</v>
      </c>
      <c r="E18" s="9">
        <v>3.40966796875</v>
      </c>
      <c r="F18" s="6">
        <v>8.13092041015625</v>
      </c>
      <c r="G18" s="10">
        <v>-77.7587890625</v>
      </c>
      <c r="H18" s="6">
        <v>6.874847412109375</v>
      </c>
      <c r="I18" s="6">
        <v>1.64337158203125</v>
      </c>
      <c r="J18" s="10">
        <v>110.41946411132812</v>
      </c>
      <c r="K18" s="6">
        <v>9.50375747680664</v>
      </c>
    </row>
    <row r="19" ht="14.25" customHeight="1">
      <c r="A19" s="5">
        <v>41863.31594907407</v>
      </c>
      <c r="B19" s="6">
        <v>13.19488525390625</v>
      </c>
      <c r="C19" s="8">
        <v>48353.8984375</v>
      </c>
      <c r="D19" s="6">
        <v>31.510730743408203</v>
      </c>
      <c r="E19" s="9">
        <v>3.5408935546875</v>
      </c>
      <c r="F19" s="6">
        <v>8.1134033203125</v>
      </c>
      <c r="G19" s="10">
        <v>-76.72119140625</v>
      </c>
      <c r="H19" s="6">
        <v>6.908416748046875</v>
      </c>
      <c r="I19" s="6">
        <v>1.6510009765625</v>
      </c>
      <c r="J19" s="10">
        <v>110.11734008789062</v>
      </c>
      <c r="K19" s="6">
        <v>9.495410919189453</v>
      </c>
    </row>
    <row r="20" ht="14.25" customHeight="1">
      <c r="A20" s="5">
        <v>41863.31596064815</v>
      </c>
      <c r="B20" s="6">
        <v>13.11614990234375</v>
      </c>
      <c r="C20" s="8">
        <v>48441.6484375</v>
      </c>
      <c r="D20" s="6">
        <v>31.571523666381836</v>
      </c>
      <c r="E20" s="9">
        <v>3.65093994140625</v>
      </c>
      <c r="F20" s="6">
        <v>8.0963134765625</v>
      </c>
      <c r="G20" s="10">
        <v>-75.74462890625</v>
      </c>
      <c r="H20" s="6">
        <v>6.866455078125</v>
      </c>
      <c r="I20" s="6">
        <v>1.639556884765625</v>
      </c>
      <c r="J20" s="10">
        <v>109.7564697265625</v>
      </c>
      <c r="K20" s="6">
        <v>9.475878715515137</v>
      </c>
    </row>
    <row r="21" ht="14.25" customHeight="1">
      <c r="A21" s="5">
        <v>41863.31596064815</v>
      </c>
      <c r="B21" s="6">
        <v>13.089599609375</v>
      </c>
      <c r="C21" s="8">
        <v>48468.39453125</v>
      </c>
      <c r="D21" s="6">
        <v>31.589948654174805</v>
      </c>
      <c r="E21" s="9">
        <v>3.789306640625</v>
      </c>
      <c r="F21" s="6">
        <v>8.080078125</v>
      </c>
      <c r="G21" s="10">
        <v>-74.8291015625</v>
      </c>
      <c r="H21" s="6">
        <v>7.18536376953125</v>
      </c>
      <c r="I21" s="6">
        <v>1.715850830078125</v>
      </c>
      <c r="J21" s="10">
        <v>109.31167602539062</v>
      </c>
      <c r="K21" s="6">
        <v>9.441569328308105</v>
      </c>
    </row>
    <row r="22" ht="14.25" customHeight="1">
      <c r="A22" s="5">
        <v>41863.31597222222</v>
      </c>
      <c r="B22" s="6">
        <v>13.067626953125</v>
      </c>
      <c r="C22" s="8">
        <v>48489.6796875</v>
      </c>
      <c r="D22" s="6">
        <v>31.604583740234375</v>
      </c>
      <c r="E22" s="9">
        <v>3.7943115234375</v>
      </c>
      <c r="F22" s="6">
        <v>8.064910888671875</v>
      </c>
      <c r="G22" s="10">
        <v>-73.91357421875</v>
      </c>
      <c r="H22" s="6">
        <v>7.38677978515625</v>
      </c>
      <c r="I22" s="6">
        <v>1.76544189453125</v>
      </c>
      <c r="J22" s="10">
        <v>108.87527465820312</v>
      </c>
      <c r="K22" s="6">
        <v>9.407190322875977</v>
      </c>
    </row>
    <row r="23" ht="14.25" customHeight="1">
      <c r="A23" s="5">
        <v>41863.31597222222</v>
      </c>
      <c r="B23" s="6">
        <v>13.05023193359375</v>
      </c>
      <c r="C23" s="8">
        <v>48508.02734375</v>
      </c>
      <c r="D23" s="6">
        <v>31.617246627807617</v>
      </c>
      <c r="E23" s="9">
        <v>3.79473876953125</v>
      </c>
      <c r="F23" s="6">
        <v>8.051025390625</v>
      </c>
      <c r="G23" s="10">
        <v>-73.1201171875</v>
      </c>
      <c r="H23" s="6">
        <v>9.191131591796875</v>
      </c>
      <c r="I23" s="6">
        <v>2.196502685546875</v>
      </c>
      <c r="J23" s="10">
        <v>108.43887329101562</v>
      </c>
      <c r="K23" s="6">
        <v>9.371929168701172</v>
      </c>
    </row>
    <row r="24" ht="14.25" customHeight="1">
      <c r="A24" s="5">
        <v>41863.315983796296</v>
      </c>
      <c r="B24" s="6">
        <v>13.0364990234375</v>
      </c>
      <c r="C24" s="8">
        <v>48524.515625</v>
      </c>
      <c r="D24" s="6">
        <v>31.62869644165039</v>
      </c>
      <c r="E24" s="9">
        <v>3.795654296875</v>
      </c>
      <c r="F24" s="6">
        <v>8.037994384765625</v>
      </c>
      <c r="G24" s="10">
        <v>-72.3876953125</v>
      </c>
      <c r="H24" s="6">
        <v>10.869598388671875</v>
      </c>
      <c r="I24" s="6">
        <v>2.5970458984375</v>
      </c>
      <c r="J24" s="10">
        <v>108.02764892578125</v>
      </c>
      <c r="K24" s="6">
        <v>9.338582038879395</v>
      </c>
    </row>
    <row r="25" ht="14.25" customHeight="1">
      <c r="A25" s="5">
        <v>41863.315983796296</v>
      </c>
      <c r="B25" s="6">
        <v>13.02459716796875</v>
      </c>
      <c r="C25" s="8">
        <v>48538.8203125</v>
      </c>
      <c r="D25" s="6">
        <v>31.638626098632812</v>
      </c>
      <c r="E25" s="9">
        <v>3.796630859375</v>
      </c>
      <c r="F25" s="6">
        <v>8.0262451171875</v>
      </c>
      <c r="G25" s="10">
        <v>-71.71630859375</v>
      </c>
      <c r="H25" s="6">
        <v>12.22076416015625</v>
      </c>
      <c r="I25" s="6">
        <v>2.921295166015625</v>
      </c>
      <c r="J25" s="10">
        <v>107.6416015625</v>
      </c>
      <c r="K25" s="6">
        <v>9.306947708129883</v>
      </c>
    </row>
    <row r="26" ht="14.25" customHeight="1">
      <c r="A26" s="5">
        <v>41863.31599537037</v>
      </c>
      <c r="B26" s="6">
        <v>13.0145263671875</v>
      </c>
      <c r="C26" s="8">
        <v>48553.46484375</v>
      </c>
      <c r="D26" s="6">
        <v>31.648866653442383</v>
      </c>
      <c r="E26" s="9">
        <v>3.7979736328125</v>
      </c>
      <c r="F26" s="6">
        <v>8.01556396484375</v>
      </c>
      <c r="G26" s="10">
        <v>-71.10595703125</v>
      </c>
      <c r="H26" s="6">
        <v>13.05999755859375</v>
      </c>
      <c r="I26" s="6">
        <v>3.119659423828125</v>
      </c>
      <c r="J26" s="10">
        <v>107.21359252929688</v>
      </c>
      <c r="K26" s="6">
        <v>9.271245956420898</v>
      </c>
    </row>
    <row r="27" ht="14.25" customHeight="1">
      <c r="A27" s="5">
        <v>41863.31599537037</v>
      </c>
      <c r="B27" s="6">
        <v>13.0072021484375</v>
      </c>
      <c r="C27" s="8">
        <v>48566.0703125</v>
      </c>
      <c r="D27" s="6">
        <v>31.657745361328125</v>
      </c>
      <c r="E27" s="9">
        <v>3.7994384765625</v>
      </c>
      <c r="F27" s="6">
        <v>8.0057373046875</v>
      </c>
      <c r="G27" s="10">
        <v>-70.556640625</v>
      </c>
      <c r="H27" s="6">
        <v>13.790130615234375</v>
      </c>
      <c r="I27" s="6">
        <v>3.295135498046875</v>
      </c>
      <c r="J27" s="10">
        <v>106.78558349609375</v>
      </c>
      <c r="K27" s="6">
        <v>9.235284805297852</v>
      </c>
    </row>
    <row r="28" ht="14.25" customHeight="1">
      <c r="A28" s="5">
        <v>41863.45827546297</v>
      </c>
      <c r="B28" s="6">
        <v>17.84210205078125</v>
      </c>
      <c r="C28" s="8">
        <v>48339.20703125</v>
      </c>
      <c r="D28" s="6">
        <v>31.590805053710938</v>
      </c>
      <c r="E28" s="9">
        <v>0.11524200439453125</v>
      </c>
      <c r="F28" s="6">
        <v>8.359710693359375</v>
      </c>
      <c r="G28" s="10">
        <v>-92.041015625</v>
      </c>
      <c r="H28" s="6">
        <v>9.75341796875</v>
      </c>
      <c r="I28" s="6">
        <v>2.33001708984375</v>
      </c>
      <c r="J28" s="10">
        <v>146.917724609375</v>
      </c>
      <c r="K28" s="6">
        <v>11.546120643615723</v>
      </c>
    </row>
    <row r="29" ht="14.25" customHeight="1">
      <c r="A29" s="5">
        <v>41863.45827546297</v>
      </c>
      <c r="B29" s="6">
        <v>17.8466796875</v>
      </c>
      <c r="C29" s="8">
        <v>48335.44140625</v>
      </c>
      <c r="D29" s="6">
        <v>31.588083267211914</v>
      </c>
      <c r="E29" s="9">
        <v>0.18823623657226562</v>
      </c>
      <c r="F29" s="6">
        <v>8.3629150390625</v>
      </c>
      <c r="G29" s="10">
        <v>-92.28515625</v>
      </c>
      <c r="H29" s="6">
        <v>9.8876953125</v>
      </c>
      <c r="I29" s="6">
        <v>2.364349365234375</v>
      </c>
      <c r="J29" s="10">
        <v>147.3541259765625</v>
      </c>
      <c r="K29" s="6">
        <v>11.579629898071289</v>
      </c>
    </row>
    <row r="30" ht="14.25" customHeight="1">
      <c r="A30" s="5">
        <v>41863.458287037036</v>
      </c>
      <c r="B30" s="6">
        <v>17.850341796875</v>
      </c>
      <c r="C30" s="8">
        <v>48331.52734375</v>
      </c>
      <c r="D30" s="6">
        <v>31.585248947143555</v>
      </c>
      <c r="E30" s="9">
        <v>0.88604736328125</v>
      </c>
      <c r="F30" s="6">
        <v>8.36590576171875</v>
      </c>
      <c r="G30" s="10">
        <v>-92.4072265625</v>
      </c>
      <c r="H30" s="6">
        <v>9.87091064453125</v>
      </c>
      <c r="I30" s="6">
        <v>2.36053466796875</v>
      </c>
      <c r="J30" s="10">
        <v>147.83248901367188</v>
      </c>
      <c r="K30" s="6">
        <v>11.616397857666016</v>
      </c>
    </row>
    <row r="31" ht="14.25" customHeight="1">
      <c r="A31" s="5">
        <v>41863.458287037036</v>
      </c>
      <c r="B31" s="6">
        <v>17.8521728515625</v>
      </c>
      <c r="C31" s="8">
        <v>48325.046875</v>
      </c>
      <c r="D31" s="6">
        <v>31.580537796020508</v>
      </c>
      <c r="E31" s="9">
        <v>0.9265594482421875</v>
      </c>
      <c r="F31" s="6">
        <v>8.368682861328125</v>
      </c>
      <c r="G31" s="10">
        <v>-92.59033203125</v>
      </c>
      <c r="H31" s="6">
        <v>9.879302978515625</v>
      </c>
      <c r="I31" s="6">
        <v>2.36053466796875</v>
      </c>
      <c r="J31" s="10">
        <v>148.28567504882812</v>
      </c>
      <c r="K31" s="6">
        <v>11.651985168457031</v>
      </c>
    </row>
    <row r="32" ht="14.25" customHeight="1">
      <c r="A32" s="5">
        <v>41863.45829861111</v>
      </c>
      <c r="B32" s="6">
        <v>17.85308837890625</v>
      </c>
      <c r="C32" s="8">
        <v>48320.671875</v>
      </c>
      <c r="D32" s="6">
        <v>31.577356338500977</v>
      </c>
      <c r="E32" s="9">
        <v>0.996337890625</v>
      </c>
      <c r="F32" s="6">
        <v>8.371246337890625</v>
      </c>
      <c r="G32" s="10">
        <v>-92.71240234375</v>
      </c>
      <c r="H32" s="6">
        <v>9.963226318359375</v>
      </c>
      <c r="I32" s="6">
        <v>2.379608154296875</v>
      </c>
      <c r="J32" s="10">
        <v>148.6968994140625</v>
      </c>
      <c r="K32" s="6">
        <v>11.684288024902344</v>
      </c>
    </row>
    <row r="33" ht="14.25" customHeight="1">
      <c r="A33" s="5">
        <v>41863.45829861111</v>
      </c>
      <c r="B33" s="6">
        <v>17.8521728515625</v>
      </c>
      <c r="C33" s="8">
        <v>48318.26171875</v>
      </c>
      <c r="D33" s="6">
        <v>31.575592041015625</v>
      </c>
      <c r="E33" s="9">
        <v>1.264251708984375</v>
      </c>
      <c r="F33" s="6">
        <v>8.37359619140625</v>
      </c>
      <c r="G33" s="10">
        <v>-92.8955078125</v>
      </c>
      <c r="H33" s="6">
        <v>10.00518798828125</v>
      </c>
      <c r="I33" s="6">
        <v>2.39105224609375</v>
      </c>
      <c r="J33" s="10">
        <v>149.17526245117188</v>
      </c>
      <c r="K33" s="6">
        <v>11.722235679626465</v>
      </c>
    </row>
    <row r="34" ht="14.25" customHeight="1">
      <c r="A34" s="5">
        <v>41863.45831018518</v>
      </c>
      <c r="B34" s="6">
        <v>17.84942626953125</v>
      </c>
      <c r="C34" s="8">
        <v>48316.66796875</v>
      </c>
      <c r="D34" s="6">
        <v>31.57441520690918</v>
      </c>
      <c r="E34" s="9">
        <v>1.6044921875</v>
      </c>
      <c r="F34" s="6">
        <v>8.375732421875</v>
      </c>
      <c r="G34" s="10">
        <v>-93.017578125</v>
      </c>
      <c r="H34" s="6">
        <v>10.164642333984375</v>
      </c>
      <c r="I34" s="6">
        <v>2.42919921875</v>
      </c>
      <c r="J34" s="10">
        <v>149.59487915039062</v>
      </c>
      <c r="K34" s="6">
        <v>11.755611419677734</v>
      </c>
    </row>
    <row r="35" ht="14.25" customHeight="1">
      <c r="A35" s="5">
        <v>41863.45831018518</v>
      </c>
      <c r="B35" s="6">
        <v>17.8466796875</v>
      </c>
      <c r="C35" s="8">
        <v>48292.4609375</v>
      </c>
      <c r="D35" s="6">
        <v>31.55674934387207</v>
      </c>
      <c r="E35" s="9">
        <v>1.994598388671875</v>
      </c>
      <c r="F35" s="6">
        <v>8.37701416015625</v>
      </c>
      <c r="G35" s="10">
        <v>-93.07861328125</v>
      </c>
      <c r="H35" s="6">
        <v>10.147857666015625</v>
      </c>
      <c r="I35" s="6">
        <v>2.425384521484375</v>
      </c>
      <c r="J35" s="10">
        <v>149.67041015625</v>
      </c>
      <c r="K35" s="6">
        <v>11.763861656188965</v>
      </c>
    </row>
    <row r="36" ht="14.25" customHeight="1">
      <c r="A36" s="5">
        <v>41863.45832175926</v>
      </c>
      <c r="B36" s="6">
        <v>17.83477783203125</v>
      </c>
      <c r="C36" s="8">
        <v>48258.79296875</v>
      </c>
      <c r="D36" s="6">
        <v>31.532136917114258</v>
      </c>
      <c r="E36" s="9">
        <v>2.02410888671875</v>
      </c>
      <c r="F36" s="6">
        <v>8.3765869140625</v>
      </c>
      <c r="G36" s="10">
        <v>-93.017578125</v>
      </c>
      <c r="H36" s="6">
        <v>9.963226318359375</v>
      </c>
      <c r="I36" s="6">
        <v>2.379608154296875</v>
      </c>
      <c r="J36" s="10">
        <v>149.46060180664062</v>
      </c>
      <c r="K36" s="6">
        <v>11.751410484313965</v>
      </c>
    </row>
    <row r="37" ht="14.25" customHeight="1">
      <c r="A37" s="5">
        <v>41863.45832175926</v>
      </c>
      <c r="B37" s="6">
        <v>17.79998779296875</v>
      </c>
      <c r="C37" s="8">
        <v>48241.62109375</v>
      </c>
      <c r="D37" s="6">
        <v>31.51943016052246</v>
      </c>
      <c r="E37" s="9">
        <v>2.041259765625</v>
      </c>
      <c r="F37" s="6">
        <v>8.374664306640625</v>
      </c>
      <c r="G37" s="10">
        <v>-92.8955078125</v>
      </c>
      <c r="H37" s="6">
        <v>9.7869873046875</v>
      </c>
      <c r="I37" s="6">
        <v>2.337646484375</v>
      </c>
      <c r="J37" s="10">
        <v>149.4354248046875</v>
      </c>
      <c r="K37" s="6">
        <v>11.758268356323242</v>
      </c>
    </row>
    <row r="38" ht="14.25" customHeight="1">
      <c r="A38" s="5">
        <v>41863.458333333336</v>
      </c>
      <c r="B38" s="6">
        <v>17.74505615234375</v>
      </c>
      <c r="C38" s="8">
        <v>48233.4921875</v>
      </c>
      <c r="D38" s="6">
        <v>31.51318359375</v>
      </c>
      <c r="E38" s="9">
        <v>2.0489501953125</v>
      </c>
      <c r="F38" s="6">
        <v>8.37188720703125</v>
      </c>
      <c r="G38" s="10">
        <v>-92.7734375</v>
      </c>
      <c r="H38" s="6">
        <v>9.66949462890625</v>
      </c>
      <c r="I38" s="6">
        <v>2.310943603515625</v>
      </c>
      <c r="J38" s="10">
        <v>149.468994140625</v>
      </c>
      <c r="K38" s="6">
        <v>11.773904800415039</v>
      </c>
    </row>
    <row r="39" ht="14.25" customHeight="1">
      <c r="A39" s="5">
        <v>41863.458333333336</v>
      </c>
      <c r="B39" s="6">
        <v>17.67730712890625</v>
      </c>
      <c r="C39" s="8">
        <v>48252.6953125</v>
      </c>
      <c r="D39" s="6">
        <v>31.526756286621094</v>
      </c>
      <c r="E39" s="9">
        <v>2.068603515625</v>
      </c>
      <c r="F39" s="6">
        <v>8.36846923828125</v>
      </c>
      <c r="G39" s="10">
        <v>-92.529296875</v>
      </c>
      <c r="H39" s="6">
        <v>9.5855712890625</v>
      </c>
      <c r="I39" s="6">
        <v>2.2918701171875</v>
      </c>
      <c r="J39" s="10">
        <v>149.56130981445312</v>
      </c>
      <c r="K39" s="6">
        <v>11.795422554016113</v>
      </c>
    </row>
    <row r="40" ht="14.25" customHeight="1">
      <c r="A40" s="5">
        <v>41863.458344907405</v>
      </c>
      <c r="B40" s="6">
        <v>17.60223388671875</v>
      </c>
      <c r="C40" s="8">
        <v>48267.30859375</v>
      </c>
      <c r="D40" s="6">
        <v>31.53691291809082</v>
      </c>
      <c r="E40" s="9">
        <v>2.0848388671875</v>
      </c>
      <c r="F40" s="6">
        <v>8.3646240234375</v>
      </c>
      <c r="G40" s="10">
        <v>-92.28515625</v>
      </c>
      <c r="H40" s="6">
        <v>9.56878662109375</v>
      </c>
      <c r="I40" s="6">
        <v>2.288055419921875</v>
      </c>
      <c r="J40" s="10">
        <v>149.5697021484375</v>
      </c>
      <c r="K40" s="6">
        <v>11.812644004821777</v>
      </c>
    </row>
    <row r="41" ht="14.25" customHeight="1">
      <c r="A41" s="5">
        <v>41863.458344907405</v>
      </c>
      <c r="B41" s="6">
        <v>17.52349853515625</v>
      </c>
      <c r="C41" s="8">
        <v>48280.21484375</v>
      </c>
      <c r="D41" s="6">
        <v>31.54576301574707</v>
      </c>
      <c r="E41" s="9">
        <v>2.10321044921875</v>
      </c>
      <c r="F41" s="6">
        <v>8.360137939453125</v>
      </c>
      <c r="G41" s="10">
        <v>-91.97998046875</v>
      </c>
      <c r="H41" s="6">
        <v>9.60235595703125</v>
      </c>
      <c r="I41" s="6">
        <v>2.295684814453125</v>
      </c>
      <c r="J41" s="10">
        <v>149.56130981445312</v>
      </c>
      <c r="K41" s="6">
        <v>11.828971862792969</v>
      </c>
    </row>
    <row r="42" ht="14.25" customHeight="1">
      <c r="A42" s="5">
        <v>41863.45835648148</v>
      </c>
      <c r="B42" s="6">
        <v>17.44659423828125</v>
      </c>
      <c r="C42" s="8">
        <v>48295.7578125</v>
      </c>
      <c r="D42" s="6">
        <v>31.5565185546875</v>
      </c>
      <c r="E42" s="9">
        <v>2.1175537109375</v>
      </c>
      <c r="F42" s="6">
        <v>8.355224609375</v>
      </c>
      <c r="G42" s="10">
        <v>-91.6748046875</v>
      </c>
      <c r="H42" s="6">
        <v>9.552001953125</v>
      </c>
      <c r="I42" s="6">
        <v>2.280426025390625</v>
      </c>
      <c r="J42" s="10">
        <v>149.5361328125</v>
      </c>
      <c r="K42" s="6">
        <v>11.843405723571777</v>
      </c>
    </row>
    <row r="43" ht="14.25" customHeight="1">
      <c r="A43" s="5">
        <v>41863.45835648148</v>
      </c>
      <c r="B43" s="6">
        <v>17.37060546875</v>
      </c>
      <c r="C43" s="8">
        <v>48314.9375</v>
      </c>
      <c r="D43" s="6">
        <v>31.56989860534668</v>
      </c>
      <c r="E43" s="9">
        <v>2.12908935546875</v>
      </c>
      <c r="F43" s="6">
        <v>8.349884033203125</v>
      </c>
      <c r="G43" s="10">
        <v>-91.36962890625</v>
      </c>
      <c r="H43" s="6">
        <v>9.48486328125</v>
      </c>
      <c r="I43" s="6">
        <v>2.265167236328125</v>
      </c>
      <c r="J43" s="10">
        <v>149.468994140625</v>
      </c>
      <c r="K43" s="6">
        <v>11.854707717895508</v>
      </c>
    </row>
    <row r="44" ht="14.25" customHeight="1">
      <c r="A44" s="5">
        <v>41863.45836805556</v>
      </c>
      <c r="B44" s="6">
        <v>17.29827880859375</v>
      </c>
      <c r="C44" s="8">
        <v>48316.48046875</v>
      </c>
      <c r="D44" s="6">
        <v>31.570423126220703</v>
      </c>
      <c r="E44" s="9">
        <v>2.139404296875</v>
      </c>
      <c r="F44" s="6">
        <v>8.344329833984375</v>
      </c>
      <c r="G44" s="10">
        <v>-91.00341796875</v>
      </c>
      <c r="H44" s="6">
        <v>9.417724609375</v>
      </c>
      <c r="I44" s="6">
        <v>2.249908447265625</v>
      </c>
      <c r="J44" s="10">
        <v>149.45220947265625</v>
      </c>
      <c r="K44" s="6">
        <v>11.869868278503418</v>
      </c>
    </row>
    <row r="45" ht="14.25" customHeight="1">
      <c r="A45" s="5">
        <v>41863.45836805556</v>
      </c>
      <c r="B45" s="6">
        <v>17.22869873046875</v>
      </c>
      <c r="C45" s="8">
        <v>48311.60546875</v>
      </c>
      <c r="D45" s="6">
        <v>31.566272735595703</v>
      </c>
      <c r="E45" s="9">
        <v>2.144287109375</v>
      </c>
      <c r="F45" s="6">
        <v>8.338348388671875</v>
      </c>
      <c r="G45" s="10">
        <v>-90.63720703125</v>
      </c>
      <c r="H45" s="6">
        <v>9.358978271484375</v>
      </c>
      <c r="I45" s="6">
        <v>2.234649658203125</v>
      </c>
      <c r="J45" s="10">
        <v>149.35150146484375</v>
      </c>
      <c r="K45" s="6">
        <v>11.878153800964355</v>
      </c>
    </row>
    <row r="46" ht="14.25" customHeight="1">
      <c r="A46" s="5">
        <v>41863.58157407407</v>
      </c>
      <c r="B46" s="6">
        <v>18.3355712890625</v>
      </c>
      <c r="C46" s="8">
        <v>48256.91015625</v>
      </c>
      <c r="D46" s="6">
        <v>31.532915115356445</v>
      </c>
      <c r="E46" s="9">
        <v>-0.07087326049804688</v>
      </c>
      <c r="F46" s="6">
        <v>8.32275390625</v>
      </c>
      <c r="G46" s="10">
        <v>-90.02685546875</v>
      </c>
      <c r="H46" s="6">
        <v>9.526824951171875</v>
      </c>
      <c r="I46" s="6">
        <v>2.276611328125</v>
      </c>
      <c r="J46" s="10">
        <v>141.3116455078125</v>
      </c>
      <c r="K46" s="6">
        <v>11.005257606506348</v>
      </c>
    </row>
    <row r="47" ht="14.25" customHeight="1">
      <c r="A47" s="5">
        <v>41863.58158564815</v>
      </c>
      <c r="B47" s="6">
        <v>18.341064453125</v>
      </c>
      <c r="C47" s="8">
        <v>48257.82421875</v>
      </c>
      <c r="D47" s="6">
        <v>31.53359603881836</v>
      </c>
      <c r="E47" s="9">
        <v>-0.05905437469482422</v>
      </c>
      <c r="F47" s="6">
        <v>8.32659912109375</v>
      </c>
      <c r="G47" s="10">
        <v>-90.27099609375</v>
      </c>
      <c r="H47" s="6">
        <v>9.63592529296875</v>
      </c>
      <c r="I47" s="6">
        <v>2.303314208984375</v>
      </c>
      <c r="J47" s="10">
        <v>142.03338623046875</v>
      </c>
      <c r="K47" s="6">
        <v>11.06082534790039</v>
      </c>
    </row>
    <row r="48" ht="14.25" customHeight="1">
      <c r="A48" s="5">
        <v>41863.58158564815</v>
      </c>
      <c r="B48" s="6">
        <v>18.3465576171875</v>
      </c>
      <c r="C48" s="8">
        <v>48257.6171875</v>
      </c>
      <c r="D48" s="6">
        <v>31.53346061706543</v>
      </c>
      <c r="E48" s="9">
        <v>-0.035945892333984375</v>
      </c>
      <c r="F48" s="6">
        <v>8.32958984375</v>
      </c>
      <c r="G48" s="10">
        <v>-90.4541015625</v>
      </c>
      <c r="H48" s="6">
        <v>9.610748291015625</v>
      </c>
      <c r="I48" s="6">
        <v>2.295684814453125</v>
      </c>
      <c r="J48" s="10">
        <v>142.78030395507812</v>
      </c>
      <c r="K48" s="6">
        <v>11.117549896240234</v>
      </c>
    </row>
    <row r="49" ht="14.25" customHeight="1">
      <c r="A49" s="5">
        <v>41863.58159722222</v>
      </c>
      <c r="B49" s="6">
        <v>18.35113525390625</v>
      </c>
      <c r="C49" s="8">
        <v>48258.37890625</v>
      </c>
      <c r="D49" s="6">
        <v>31.534029006958008</v>
      </c>
      <c r="E49" s="9">
        <v>0.00988459587097168</v>
      </c>
      <c r="F49" s="6">
        <v>8.33258056640625</v>
      </c>
      <c r="G49" s="10">
        <v>-90.63720703125</v>
      </c>
      <c r="H49" s="6">
        <v>9.53521728515625</v>
      </c>
      <c r="I49" s="6">
        <v>2.276611328125</v>
      </c>
      <c r="J49" s="10">
        <v>143.50204467773438</v>
      </c>
      <c r="K49" s="6">
        <v>11.172637939453125</v>
      </c>
    </row>
    <row r="50" ht="14.25" customHeight="1">
      <c r="A50" s="5">
        <v>41863.58159722222</v>
      </c>
      <c r="B50" s="6">
        <v>18.35479736328125</v>
      </c>
      <c r="C50" s="8">
        <v>48256.74609375</v>
      </c>
      <c r="D50" s="6">
        <v>31.532852172851562</v>
      </c>
      <c r="E50" s="9">
        <v>0.06484603881835938</v>
      </c>
      <c r="F50" s="6">
        <v>8.33599853515625</v>
      </c>
      <c r="G50" s="10">
        <v>-90.8203125</v>
      </c>
      <c r="H50" s="6">
        <v>9.66949462890625</v>
      </c>
      <c r="I50" s="6">
        <v>2.310943603515625</v>
      </c>
      <c r="J50" s="10">
        <v>144.1986083984375</v>
      </c>
      <c r="K50" s="6">
        <v>11.22650146484375</v>
      </c>
    </row>
    <row r="51" ht="14.25" customHeight="1">
      <c r="A51" s="5">
        <v>41863.581608796296</v>
      </c>
      <c r="B51" s="6">
        <v>18.35662841796875</v>
      </c>
      <c r="C51" s="8">
        <v>48252.578125</v>
      </c>
      <c r="D51" s="6">
        <v>31.529817581176758</v>
      </c>
      <c r="E51" s="9">
        <v>0.12558364868164062</v>
      </c>
      <c r="F51" s="6">
        <v>8.339630126953125</v>
      </c>
      <c r="G51" s="10">
        <v>-91.064453125</v>
      </c>
      <c r="H51" s="6">
        <v>9.63592529296875</v>
      </c>
      <c r="I51" s="6">
        <v>2.303314208984375</v>
      </c>
      <c r="J51" s="10">
        <v>144.8699951171875</v>
      </c>
      <c r="K51" s="6">
        <v>11.278556823730469</v>
      </c>
    </row>
    <row r="52" ht="14.25" customHeight="1">
      <c r="A52" s="5">
        <v>41863.581608796296</v>
      </c>
      <c r="B52" s="6">
        <v>18.35662841796875</v>
      </c>
      <c r="C52" s="8">
        <v>48248.10546875</v>
      </c>
      <c r="D52" s="6">
        <v>31.52655601501465</v>
      </c>
      <c r="E52" s="9">
        <v>0.18972015380859375</v>
      </c>
      <c r="F52" s="6">
        <v>8.34326171875</v>
      </c>
      <c r="G52" s="10">
        <v>-91.24755859375</v>
      </c>
      <c r="H52" s="6">
        <v>9.60235595703125</v>
      </c>
      <c r="I52" s="6">
        <v>2.295684814453125</v>
      </c>
      <c r="J52" s="10">
        <v>145.56655883789062</v>
      </c>
      <c r="K52" s="6">
        <v>11.333006858825684</v>
      </c>
    </row>
    <row r="53" ht="14.25" customHeight="1">
      <c r="A53" s="5">
        <v>41863.58162037037</v>
      </c>
      <c r="B53" s="6">
        <v>18.3538818359375</v>
      </c>
      <c r="C53" s="8">
        <v>48246.52734375</v>
      </c>
      <c r="D53" s="6">
        <v>31.525402069091797</v>
      </c>
      <c r="E53" s="9">
        <v>0.2487030029296875</v>
      </c>
      <c r="F53" s="6">
        <v>8.3466796875</v>
      </c>
      <c r="G53" s="10">
        <v>-91.4306640625</v>
      </c>
      <c r="H53" s="6">
        <v>9.552001953125</v>
      </c>
      <c r="I53" s="6">
        <v>2.280426025390625</v>
      </c>
      <c r="J53" s="10">
        <v>146.20437622070312</v>
      </c>
      <c r="K53" s="6">
        <v>11.383410453796387</v>
      </c>
    </row>
    <row r="54" ht="14.25" customHeight="1">
      <c r="A54" s="5">
        <v>41863.58162037037</v>
      </c>
      <c r="B54" s="6">
        <v>18.3502197265625</v>
      </c>
      <c r="C54" s="8">
        <v>48244.80078125</v>
      </c>
      <c r="D54" s="6">
        <v>31.524126052856445</v>
      </c>
      <c r="E54" s="9">
        <v>0.30341339111328125</v>
      </c>
      <c r="F54" s="6">
        <v>8.35009765625</v>
      </c>
      <c r="G54" s="10">
        <v>-91.61376953125</v>
      </c>
      <c r="H54" s="6">
        <v>9.686279296875</v>
      </c>
      <c r="I54" s="6">
        <v>2.31475830078125</v>
      </c>
      <c r="J54" s="10">
        <v>146.8505859375</v>
      </c>
      <c r="K54" s="6">
        <v>11.434003829956055</v>
      </c>
    </row>
    <row r="55" ht="14.25" customHeight="1">
      <c r="A55" s="5">
        <v>41863.58163194444</v>
      </c>
      <c r="B55" s="6">
        <v>18.3465576171875</v>
      </c>
      <c r="C55" s="8">
        <v>48243.07421875</v>
      </c>
      <c r="D55" s="6">
        <v>31.522857666015625</v>
      </c>
      <c r="E55" s="9">
        <v>0.35604095458984375</v>
      </c>
      <c r="F55" s="6">
        <v>8.35308837890625</v>
      </c>
      <c r="G55" s="10">
        <v>-91.796875</v>
      </c>
      <c r="H55" s="6">
        <v>9.711456298828125</v>
      </c>
      <c r="I55" s="6">
        <v>2.3223876953125</v>
      </c>
      <c r="J55" s="10">
        <v>147.43804931640625</v>
      </c>
      <c r="K55" s="6">
        <v>11.480949401855469</v>
      </c>
    </row>
    <row r="56" ht="14.25" customHeight="1">
      <c r="A56" s="5">
        <v>41863.58163194444</v>
      </c>
      <c r="B56" s="6">
        <v>18.341064453125</v>
      </c>
      <c r="C56" s="8">
        <v>48243.27734375</v>
      </c>
      <c r="D56" s="6">
        <v>31.522991180419922</v>
      </c>
      <c r="E56" s="9">
        <v>0.40885162353515625</v>
      </c>
      <c r="F56" s="6">
        <v>8.3560791015625</v>
      </c>
      <c r="G56" s="10">
        <v>-91.97998046875</v>
      </c>
      <c r="H56" s="6">
        <v>9.879302978515625</v>
      </c>
      <c r="I56" s="6">
        <v>2.36053466796875</v>
      </c>
      <c r="J56" s="10">
        <v>147.98355102539062</v>
      </c>
      <c r="K56" s="6">
        <v>11.524923324584961</v>
      </c>
    </row>
    <row r="57" ht="14.25" customHeight="1">
      <c r="A57" s="5">
        <v>41863.58164351852</v>
      </c>
      <c r="B57" s="6">
        <v>18.33648681640625</v>
      </c>
      <c r="C57" s="8">
        <v>48241.3984375</v>
      </c>
      <c r="D57" s="6">
        <v>31.521602630615234</v>
      </c>
      <c r="E57" s="9">
        <v>0.4639739990234375</v>
      </c>
      <c r="F57" s="6">
        <v>8.358642578125</v>
      </c>
      <c r="G57" s="10">
        <v>-92.1630859375</v>
      </c>
      <c r="H57" s="6">
        <v>9.7869873046875</v>
      </c>
      <c r="I57" s="6">
        <v>2.337646484375</v>
      </c>
      <c r="J57" s="10">
        <v>148.57940673828125</v>
      </c>
      <c r="K57" s="6">
        <v>11.572066307067871</v>
      </c>
    </row>
    <row r="58" ht="14.25" customHeight="1">
      <c r="A58" s="5">
        <v>41863.58164351852</v>
      </c>
      <c r="B58" s="6">
        <v>18.33099365234375</v>
      </c>
      <c r="C58" s="8">
        <v>48240.48046875</v>
      </c>
      <c r="D58" s="6">
        <v>31.520919799804688</v>
      </c>
      <c r="E58" s="9">
        <v>0.5215606689453125</v>
      </c>
      <c r="F58" s="6">
        <v>8.361419677734375</v>
      </c>
      <c r="G58" s="10">
        <v>-92.28515625</v>
      </c>
      <c r="H58" s="6">
        <v>9.946441650390625</v>
      </c>
      <c r="I58" s="6">
        <v>2.37579345703125</v>
      </c>
      <c r="J58" s="10">
        <v>149.20883178710938</v>
      </c>
      <c r="K58" s="6">
        <v>11.622651100158691</v>
      </c>
    </row>
    <row r="59" ht="14.25" customHeight="1">
      <c r="A59" s="5">
        <v>41863.581655092596</v>
      </c>
      <c r="B59" s="6">
        <v>18.32550048828125</v>
      </c>
      <c r="C59" s="8">
        <v>48239.56640625</v>
      </c>
      <c r="D59" s="6">
        <v>31.52024269104004</v>
      </c>
      <c r="E59" s="9">
        <v>0.5764007568359375</v>
      </c>
      <c r="F59" s="6">
        <v>8.363983154296875</v>
      </c>
      <c r="G59" s="10">
        <v>-92.46826171875</v>
      </c>
      <c r="H59" s="6">
        <v>10.080718994140625</v>
      </c>
      <c r="I59" s="6">
        <v>2.410125732421875</v>
      </c>
      <c r="J59" s="10">
        <v>149.7711181640625</v>
      </c>
      <c r="K59" s="6">
        <v>11.666969299316406</v>
      </c>
    </row>
    <row r="60" ht="14.25" customHeight="1">
      <c r="A60" s="5">
        <v>41863.581655092596</v>
      </c>
      <c r="B60" s="6">
        <v>18.319091796875</v>
      </c>
      <c r="C60" s="8">
        <v>48239.62109375</v>
      </c>
      <c r="D60" s="6">
        <v>31.520254135131836</v>
      </c>
      <c r="E60" s="9">
        <v>0.63189697265625</v>
      </c>
      <c r="F60" s="6">
        <v>8.3663330078125</v>
      </c>
      <c r="G60" s="10">
        <v>-92.59033203125</v>
      </c>
      <c r="H60" s="6">
        <v>10.382843017578125</v>
      </c>
      <c r="I60" s="6">
        <v>2.48260498046875</v>
      </c>
      <c r="J60" s="10">
        <v>150.408935546875</v>
      </c>
      <c r="K60" s="6">
        <v>11.718629837036133</v>
      </c>
    </row>
    <row r="61" ht="14.25" customHeight="1">
      <c r="A61" s="5">
        <v>41863.581666666665</v>
      </c>
      <c r="B61" s="6">
        <v>18.311767578125</v>
      </c>
      <c r="C61" s="8">
        <v>48239.515625</v>
      </c>
      <c r="D61" s="6">
        <v>31.520164489746094</v>
      </c>
      <c r="E61" s="9">
        <v>0.6851348876953125</v>
      </c>
      <c r="F61" s="6">
        <v>8.36846923828125</v>
      </c>
      <c r="G61" s="10">
        <v>-92.71240234375</v>
      </c>
      <c r="H61" s="6">
        <v>10.44158935546875</v>
      </c>
      <c r="I61" s="6">
        <v>2.494049072265625</v>
      </c>
      <c r="J61" s="10">
        <v>150.92086791992188</v>
      </c>
      <c r="K61" s="6">
        <v>11.759812355041504</v>
      </c>
    </row>
    <row r="62" ht="14.25" customHeight="1">
      <c r="A62" s="5">
        <v>41863.581666666665</v>
      </c>
      <c r="B62" s="6">
        <v>18.30535888671875</v>
      </c>
      <c r="C62" s="8">
        <v>48240.69140625</v>
      </c>
      <c r="D62" s="6">
        <v>31.520994186401367</v>
      </c>
      <c r="E62" s="9">
        <v>0.7343292236328125</v>
      </c>
      <c r="F62" s="6">
        <v>8.37060546875</v>
      </c>
      <c r="G62" s="10">
        <v>-92.83447265625</v>
      </c>
      <c r="H62" s="6">
        <v>10.57586669921875</v>
      </c>
      <c r="I62" s="6">
        <v>2.52838134765625</v>
      </c>
      <c r="J62" s="10">
        <v>151.49993896484375</v>
      </c>
      <c r="K62" s="6">
        <v>11.806863784790039</v>
      </c>
    </row>
    <row r="63" ht="14.25" customHeight="1">
      <c r="A63" s="5">
        <v>41863.58167824074</v>
      </c>
      <c r="B63" s="6">
        <v>18.29803466796875</v>
      </c>
      <c r="C63" s="8">
        <v>48242.83203125</v>
      </c>
      <c r="D63" s="6">
        <v>31.52253532409668</v>
      </c>
      <c r="E63" s="9">
        <v>0.782806396484375</v>
      </c>
      <c r="F63" s="6">
        <v>8.372314453125</v>
      </c>
      <c r="G63" s="10">
        <v>-92.8955078125</v>
      </c>
      <c r="H63" s="6">
        <v>10.701751708984375</v>
      </c>
      <c r="I63" s="6">
        <v>2.55889892578125</v>
      </c>
      <c r="J63" s="10">
        <v>152.08740234375</v>
      </c>
      <c r="K63" s="6">
        <v>11.853878021240234</v>
      </c>
    </row>
    <row r="64" ht="14.25" customHeight="1">
      <c r="A64" s="5">
        <v>41863.58167824074</v>
      </c>
      <c r="B64" s="6">
        <v>18.29071044921875</v>
      </c>
      <c r="C64" s="8">
        <v>48243.8515625</v>
      </c>
      <c r="D64" s="6">
        <v>31.523252487182617</v>
      </c>
      <c r="E64" s="9">
        <v>0.8341827392578125</v>
      </c>
      <c r="F64" s="6">
        <v>8.3740234375</v>
      </c>
      <c r="G64" s="10">
        <v>-93.017578125</v>
      </c>
      <c r="H64" s="6">
        <v>10.584259033203125</v>
      </c>
      <c r="I64" s="6">
        <v>2.52838134765625</v>
      </c>
      <c r="J64" s="10">
        <v>152.68325805664062</v>
      </c>
      <c r="K64" s="6">
        <v>11.902253150939941</v>
      </c>
    </row>
    <row r="65" ht="14.25" customHeight="1">
      <c r="A65" s="5">
        <v>41863.58168981481</v>
      </c>
      <c r="B65" s="6">
        <v>18.2843017578125</v>
      </c>
      <c r="C65" s="8">
        <v>48239.421875</v>
      </c>
      <c r="D65" s="6">
        <v>31.520004272460938</v>
      </c>
      <c r="E65" s="9">
        <v>0.888946533203125</v>
      </c>
      <c r="F65" s="6">
        <v>8.375518798828125</v>
      </c>
      <c r="G65" s="10">
        <v>-93.1396484375</v>
      </c>
      <c r="H65" s="6">
        <v>10.584259033203125</v>
      </c>
      <c r="I65" s="6">
        <v>2.52838134765625</v>
      </c>
      <c r="J65" s="10">
        <v>153.228759765625</v>
      </c>
      <c r="K65" s="6">
        <v>11.945897102355957</v>
      </c>
    </row>
    <row r="66" ht="14.25" customHeight="1">
      <c r="A66" s="5">
        <v>41863.58168981481</v>
      </c>
      <c r="B66" s="6">
        <v>18.275146484375</v>
      </c>
      <c r="C66" s="8">
        <v>48242.37890625</v>
      </c>
      <c r="D66" s="6">
        <v>31.52212905883789</v>
      </c>
      <c r="E66" s="9">
        <v>0.9392547607421875</v>
      </c>
      <c r="F66" s="6">
        <v>8.37701416015625</v>
      </c>
      <c r="G66" s="10">
        <v>-93.20068359375</v>
      </c>
      <c r="H66" s="6">
        <v>10.55908203125</v>
      </c>
      <c r="I66" s="6">
        <v>2.524566650390625</v>
      </c>
      <c r="J66" s="10">
        <v>153.70712280273438</v>
      </c>
      <c r="K66" s="6">
        <v>11.985262870788574</v>
      </c>
    </row>
    <row r="67" ht="14.25" customHeight="1">
      <c r="A67" s="5">
        <v>41863.58170138889</v>
      </c>
      <c r="B67" s="6">
        <v>18.26507568359375</v>
      </c>
      <c r="C67" s="8">
        <v>48244.05859375</v>
      </c>
      <c r="D67" s="6">
        <v>31.5233211517334</v>
      </c>
      <c r="E67" s="9">
        <v>0.99053955078125</v>
      </c>
      <c r="F67" s="6">
        <v>8.3782958984375</v>
      </c>
      <c r="G67" s="10">
        <v>-93.26171875</v>
      </c>
      <c r="H67" s="6">
        <v>10.550689697265625</v>
      </c>
      <c r="I67" s="6">
        <v>2.520751953125</v>
      </c>
      <c r="J67" s="10">
        <v>154.26101684570312</v>
      </c>
      <c r="K67" s="6">
        <v>12.030851364135742</v>
      </c>
    </row>
    <row r="68" ht="14.25" customHeight="1">
      <c r="A68" s="5">
        <v>41863.58170138889</v>
      </c>
      <c r="B68" s="6">
        <v>18.2550048828125</v>
      </c>
      <c r="C68" s="8">
        <v>48241.26171875</v>
      </c>
      <c r="D68" s="6">
        <v>31.52124786376953</v>
      </c>
      <c r="E68" s="9">
        <v>1.046875</v>
      </c>
      <c r="F68" s="6">
        <v>8.379364013671875</v>
      </c>
      <c r="G68" s="10">
        <v>-93.32275390625</v>
      </c>
      <c r="H68" s="6">
        <v>10.567474365234375</v>
      </c>
      <c r="I68" s="6">
        <v>2.524566650390625</v>
      </c>
      <c r="J68" s="10">
        <v>154.705810546875</v>
      </c>
      <c r="K68" s="6">
        <v>12.067904472351074</v>
      </c>
    </row>
    <row r="69" ht="14.25" customHeight="1">
      <c r="A69" s="5">
        <v>41863.581712962965</v>
      </c>
      <c r="B69" s="6">
        <v>18.24310302734375</v>
      </c>
      <c r="C69" s="8">
        <v>48235.9140625</v>
      </c>
      <c r="D69" s="6">
        <v>31.517309188842773</v>
      </c>
      <c r="E69" s="9">
        <v>1.105072021484375</v>
      </c>
      <c r="F69" s="6">
        <v>8.38043212890625</v>
      </c>
      <c r="G69" s="10">
        <v>-93.3837890625</v>
      </c>
      <c r="H69" s="6">
        <v>10.6597900390625</v>
      </c>
      <c r="I69" s="6">
        <v>2.547454833984375</v>
      </c>
      <c r="J69" s="10">
        <v>155.09185791015625</v>
      </c>
      <c r="K69" s="6">
        <v>12.101401329040527</v>
      </c>
    </row>
    <row r="70" ht="14.25" customHeight="1">
      <c r="A70" s="5">
        <v>41863.581712962965</v>
      </c>
      <c r="B70" s="6">
        <v>18.22845458984375</v>
      </c>
      <c r="C70" s="8">
        <v>48240.1953125</v>
      </c>
      <c r="D70" s="6">
        <v>31.520376205444336</v>
      </c>
      <c r="E70" s="9">
        <v>1.159698486328125</v>
      </c>
      <c r="F70" s="6">
        <v>8.38128662109375</v>
      </c>
      <c r="G70" s="10">
        <v>-93.44482421875</v>
      </c>
      <c r="H70" s="6">
        <v>10.7269287109375</v>
      </c>
      <c r="I70" s="6">
        <v>2.562713623046875</v>
      </c>
      <c r="J70" s="10">
        <v>155.4779052734375</v>
      </c>
      <c r="K70" s="6">
        <v>12.13396167755127</v>
      </c>
    </row>
    <row r="71" ht="14.25" customHeight="1">
      <c r="A71" s="5">
        <v>41863.581724537034</v>
      </c>
      <c r="B71" s="6">
        <v>18.2073974609375</v>
      </c>
      <c r="C71" s="8">
        <v>48231.0703125</v>
      </c>
      <c r="D71" s="6">
        <v>31.51364517211914</v>
      </c>
      <c r="E71" s="9">
        <v>1.213470458984375</v>
      </c>
      <c r="F71" s="6">
        <v>8.3817138671875</v>
      </c>
      <c r="G71" s="10">
        <v>-93.44482421875</v>
      </c>
      <c r="H71" s="6">
        <v>10.693359375</v>
      </c>
      <c r="I71" s="6">
        <v>2.555084228515625</v>
      </c>
      <c r="J71" s="10">
        <v>155.914306640625</v>
      </c>
      <c r="K71" s="6">
        <v>12.173196792602539</v>
      </c>
    </row>
    <row r="72" ht="14.25" customHeight="1">
      <c r="A72" s="5">
        <v>41863.581724537034</v>
      </c>
      <c r="B72" s="6">
        <v>18.1781005859375</v>
      </c>
      <c r="C72" s="8">
        <v>48235.15234375</v>
      </c>
      <c r="D72" s="6">
        <v>31.516517639160156</v>
      </c>
      <c r="E72" s="9">
        <v>1.265869140625</v>
      </c>
      <c r="F72" s="6">
        <v>8.381927490234375</v>
      </c>
      <c r="G72" s="10">
        <v>-93.44482421875</v>
      </c>
      <c r="H72" s="6">
        <v>10.67657470703125</v>
      </c>
      <c r="I72" s="6">
        <v>2.55126953125</v>
      </c>
      <c r="J72" s="10">
        <v>156.25839233398438</v>
      </c>
      <c r="K72" s="6">
        <v>12.207399368286133</v>
      </c>
    </row>
    <row r="73" ht="14.25" customHeight="1">
      <c r="A73" s="5">
        <v>41863.58173611111</v>
      </c>
      <c r="B73" s="6">
        <v>18.1414794921875</v>
      </c>
      <c r="C73" s="8">
        <v>48206.5546875</v>
      </c>
      <c r="D73" s="6">
        <v>31.49552345275879</v>
      </c>
      <c r="E73" s="9">
        <v>1.321533203125</v>
      </c>
      <c r="F73" s="6">
        <v>8.3817138671875</v>
      </c>
      <c r="G73" s="10">
        <v>-93.44482421875</v>
      </c>
      <c r="H73" s="6">
        <v>10.693359375</v>
      </c>
      <c r="I73" s="6">
        <v>2.555084228515625</v>
      </c>
      <c r="J73" s="10">
        <v>156.33392333984375</v>
      </c>
      <c r="K73" s="6">
        <v>12.222708702087402</v>
      </c>
    </row>
    <row r="74" ht="14.25" customHeight="1">
      <c r="A74" s="5">
        <v>41863.58173611111</v>
      </c>
      <c r="B74" s="6">
        <v>18.09661865234375</v>
      </c>
      <c r="C74" s="8">
        <v>48193.38671875</v>
      </c>
      <c r="D74" s="6">
        <v>31.485748291015625</v>
      </c>
      <c r="E74" s="9">
        <v>1.379852294921875</v>
      </c>
      <c r="F74" s="6">
        <v>8.381072998046875</v>
      </c>
      <c r="G74" s="10">
        <v>-93.3837890625</v>
      </c>
      <c r="H74" s="6">
        <v>10.6597900390625</v>
      </c>
      <c r="I74" s="6">
        <v>2.547454833984375</v>
      </c>
      <c r="J74" s="10">
        <v>156.76193237304688</v>
      </c>
      <c r="K74" s="6">
        <v>12.267594337463379</v>
      </c>
    </row>
    <row r="75" ht="14.25" customHeight="1">
      <c r="A75" s="5">
        <v>41863.58174768519</v>
      </c>
      <c r="B75" s="6">
        <v>18.0499267578125</v>
      </c>
      <c r="C75" s="8">
        <v>48179.890625</v>
      </c>
      <c r="D75" s="6">
        <v>31.4757022857666</v>
      </c>
      <c r="E75" s="9">
        <v>1.44281005859375</v>
      </c>
      <c r="F75" s="6">
        <v>8.379791259765625</v>
      </c>
      <c r="G75" s="10">
        <v>-93.32275390625</v>
      </c>
      <c r="H75" s="6">
        <v>10.768890380859375</v>
      </c>
      <c r="I75" s="6">
        <v>2.570343017578125</v>
      </c>
      <c r="J75" s="10">
        <v>156.94656372070312</v>
      </c>
      <c r="K75" s="6">
        <v>12.294262886047363</v>
      </c>
    </row>
    <row r="76" ht="14.25" customHeight="1">
      <c r="A76" s="5">
        <v>41863.58174768519</v>
      </c>
      <c r="B76" s="6">
        <v>18.00140380859375</v>
      </c>
      <c r="C76" s="8">
        <v>48153.65234375</v>
      </c>
      <c r="D76" s="6">
        <v>31.456361770629883</v>
      </c>
      <c r="E76" s="9">
        <v>1.5155029296875</v>
      </c>
      <c r="F76" s="6">
        <v>8.3782958984375</v>
      </c>
      <c r="G76" s="10">
        <v>-93.20068359375</v>
      </c>
      <c r="H76" s="6">
        <v>10.87799072265625</v>
      </c>
      <c r="I76" s="6">
        <v>2.5970458984375</v>
      </c>
      <c r="J76" s="10">
        <v>156.97174072265625</v>
      </c>
      <c r="K76" s="6">
        <v>12.308797836303711</v>
      </c>
    </row>
    <row r="77" ht="14.25" customHeight="1">
      <c r="A77" s="5">
        <v>41863.58175925926</v>
      </c>
      <c r="B77" s="6">
        <v>17.94647216796875</v>
      </c>
      <c r="C77" s="8">
        <v>48139.80859375</v>
      </c>
      <c r="D77" s="6">
        <v>31.446012496948242</v>
      </c>
      <c r="E77" s="9">
        <v>1.59503173828125</v>
      </c>
      <c r="F77" s="6">
        <v>8.37530517578125</v>
      </c>
      <c r="G77" s="10">
        <v>-93.017578125</v>
      </c>
      <c r="H77" s="6">
        <v>10.953521728515625</v>
      </c>
      <c r="I77" s="6">
        <v>2.616119384765625</v>
      </c>
      <c r="J77" s="10">
        <v>156.787109375</v>
      </c>
      <c r="K77" s="6">
        <v>12.307517051696777</v>
      </c>
    </row>
    <row r="78" ht="14.25" customHeight="1">
      <c r="A78" s="5">
        <v>41863.58175925926</v>
      </c>
      <c r="B78" s="6">
        <v>17.8814697265625</v>
      </c>
      <c r="C78" s="8">
        <v>48106.12890625</v>
      </c>
      <c r="D78" s="6">
        <v>31.421142578125</v>
      </c>
      <c r="E78" s="9">
        <v>2.2708740234375</v>
      </c>
      <c r="F78" s="6">
        <v>8.371673583984375</v>
      </c>
      <c r="G78" s="10">
        <v>-92.7734375</v>
      </c>
      <c r="H78" s="6">
        <v>11.11297607421875</v>
      </c>
      <c r="I78" s="6">
        <v>2.654266357421875</v>
      </c>
      <c r="J78" s="10">
        <v>156.77032470703125</v>
      </c>
      <c r="K78" s="6">
        <v>12.323700904846191</v>
      </c>
    </row>
    <row r="79" ht="14.25" customHeight="1">
      <c r="A79" s="5">
        <v>41863.581770833334</v>
      </c>
      <c r="B79" s="6">
        <v>17.806396484375</v>
      </c>
      <c r="C79" s="8">
        <v>48121.56640625</v>
      </c>
      <c r="D79" s="6">
        <v>31.43198013305664</v>
      </c>
      <c r="E79" s="9">
        <v>2.3106689453125</v>
      </c>
      <c r="F79" s="6">
        <v>8.367401123046875</v>
      </c>
      <c r="G79" s="10">
        <v>-92.529296875</v>
      </c>
      <c r="H79" s="6">
        <v>11.121368408203125</v>
      </c>
      <c r="I79" s="6">
        <v>2.6580810546875</v>
      </c>
      <c r="J79" s="10">
        <v>156.73675537109375</v>
      </c>
      <c r="K79" s="6">
        <v>12.337835311889648</v>
      </c>
    </row>
    <row r="80" ht="14.25" customHeight="1">
      <c r="A80" s="5">
        <v>41863.581770833334</v>
      </c>
      <c r="B80" s="6">
        <v>17.72125244140625</v>
      </c>
      <c r="C80" s="8">
        <v>48144.40625</v>
      </c>
      <c r="D80" s="6">
        <v>31.448116302490234</v>
      </c>
      <c r="E80" s="9">
        <v>2.3377685546875</v>
      </c>
      <c r="F80" s="6">
        <v>8.363128662109375</v>
      </c>
      <c r="G80" s="10">
        <v>-92.22412109375</v>
      </c>
      <c r="H80" s="6">
        <v>10.97869873046875</v>
      </c>
      <c r="I80" s="6">
        <v>2.623748779296875</v>
      </c>
      <c r="J80" s="10">
        <v>155.93948364257812</v>
      </c>
      <c r="K80" s="6">
        <v>12.293519973754883</v>
      </c>
    </row>
    <row r="81" ht="14.25" customHeight="1">
      <c r="A81" s="5">
        <v>41863.581782407404</v>
      </c>
      <c r="B81" s="6">
        <v>16.91192626953125</v>
      </c>
      <c r="C81" s="8">
        <v>48940.2890625</v>
      </c>
      <c r="D81" s="6">
        <v>32.02165222167969</v>
      </c>
      <c r="E81" s="9">
        <v>2.3748779296875</v>
      </c>
      <c r="F81" s="6">
        <v>8.36163330078125</v>
      </c>
      <c r="G81" s="10">
        <v>-91.9189453125</v>
      </c>
      <c r="H81" s="6">
        <v>10.91156005859375</v>
      </c>
      <c r="I81" s="6">
        <v>2.60467529296875</v>
      </c>
      <c r="J81" s="10">
        <v>156.60247802734375</v>
      </c>
      <c r="K81" s="6">
        <v>12.497051239013672</v>
      </c>
    </row>
    <row r="82" ht="14.25" customHeight="1">
      <c r="A82" s="5">
        <v>41863.581782407404</v>
      </c>
      <c r="B82" s="6">
        <v>16.7242431640625</v>
      </c>
      <c r="C82" s="8">
        <v>47817.09375</v>
      </c>
      <c r="D82" s="6">
        <v>31.201210021972656</v>
      </c>
      <c r="E82" s="9">
        <v>2.41900634765625</v>
      </c>
      <c r="F82" s="6">
        <v>8.354156494140625</v>
      </c>
      <c r="G82" s="10">
        <v>-91.4306640625</v>
      </c>
      <c r="H82" s="6">
        <v>10.67657470703125</v>
      </c>
      <c r="I82" s="6">
        <v>2.55126953125</v>
      </c>
      <c r="J82" s="10">
        <v>155.63735961914062</v>
      </c>
      <c r="K82" s="6">
        <v>12.526930809020996</v>
      </c>
    </row>
    <row r="83" ht="14.25" customHeight="1">
      <c r="A83" s="5">
        <v>41863.58179398148</v>
      </c>
      <c r="B83" s="6">
        <v>16.513671875</v>
      </c>
      <c r="C83" s="8">
        <v>48375.2734375</v>
      </c>
      <c r="D83" s="6">
        <v>31.604867935180664</v>
      </c>
      <c r="E83" s="9">
        <v>2.44525146484375</v>
      </c>
      <c r="F83" s="6">
        <v>8.344757080078125</v>
      </c>
      <c r="G83" s="10">
        <v>-90.8203125</v>
      </c>
      <c r="H83" s="6">
        <v>10.382843017578125</v>
      </c>
      <c r="I83" s="6">
        <v>2.478790283203125</v>
      </c>
      <c r="J83" s="10">
        <v>154.78973388671875</v>
      </c>
      <c r="K83" s="6">
        <v>12.47995376586914</v>
      </c>
    </row>
    <row r="84" ht="14.25" customHeight="1">
      <c r="A84" s="5">
        <v>41863.58179398148</v>
      </c>
      <c r="B84" s="6">
        <v>16.3671875</v>
      </c>
      <c r="C84" s="8">
        <v>48228.62890625</v>
      </c>
      <c r="D84" s="6">
        <v>31.496139526367188</v>
      </c>
      <c r="E84" s="9">
        <v>2.4658203125</v>
      </c>
      <c r="F84" s="6">
        <v>8.33428955078125</v>
      </c>
      <c r="G84" s="10">
        <v>-90.2099609375</v>
      </c>
      <c r="H84" s="6">
        <v>10.37445068359375</v>
      </c>
      <c r="I84" s="6">
        <v>2.478790283203125</v>
      </c>
      <c r="J84" s="10">
        <v>153.97567749023438</v>
      </c>
      <c r="K84" s="6">
        <v>12.45798110961914</v>
      </c>
    </row>
    <row r="85" ht="14.25" customHeight="1">
      <c r="A85" s="5">
        <v>41863.58180555556</v>
      </c>
      <c r="B85" s="6">
        <v>16.26007080078125</v>
      </c>
      <c r="C85" s="8">
        <v>48318.9375</v>
      </c>
      <c r="D85" s="6">
        <v>31.560375213623047</v>
      </c>
      <c r="E85" s="9">
        <v>2.4818115234375</v>
      </c>
      <c r="F85" s="6">
        <v>8.323394775390625</v>
      </c>
      <c r="G85" s="10">
        <v>-89.53857421875</v>
      </c>
      <c r="H85" s="6">
        <v>10.248565673828125</v>
      </c>
      <c r="I85" s="6">
        <v>2.448272705078125</v>
      </c>
      <c r="J85" s="10">
        <v>153.18679809570312</v>
      </c>
      <c r="K85" s="6">
        <v>12.415449142456055</v>
      </c>
    </row>
    <row r="86" ht="14.25" customHeight="1">
      <c r="A86" s="5">
        <v>41863.58180555556</v>
      </c>
      <c r="B86" s="6">
        <v>16.1474609375</v>
      </c>
      <c r="C86" s="8">
        <v>48351.1640625</v>
      </c>
      <c r="D86" s="6">
        <v>31.582178115844727</v>
      </c>
      <c r="E86" s="9">
        <v>2.4971923828125</v>
      </c>
      <c r="F86" s="6">
        <v>8.31292724609375</v>
      </c>
      <c r="G86" s="10">
        <v>-88.92822265625</v>
      </c>
      <c r="H86" s="6">
        <v>10.298919677734375</v>
      </c>
      <c r="I86" s="6">
        <v>2.459716796875</v>
      </c>
      <c r="J86" s="10">
        <v>152.51541137695312</v>
      </c>
      <c r="K86" s="6">
        <v>12.386358261108398</v>
      </c>
    </row>
    <row r="87" ht="14.25" customHeight="1">
      <c r="A87" s="5">
        <v>41863.58181712963</v>
      </c>
      <c r="B87" s="6">
        <v>16.02294921875</v>
      </c>
      <c r="C87" s="8">
        <v>48408.62109375</v>
      </c>
      <c r="D87" s="6">
        <v>31.6220703125</v>
      </c>
      <c r="E87" s="9">
        <v>2.51666259765625</v>
      </c>
      <c r="F87" s="6">
        <v>8.302886962890625</v>
      </c>
      <c r="G87" s="10">
        <v>-88.31787109375</v>
      </c>
      <c r="H87" s="6">
        <v>10.00518798828125</v>
      </c>
      <c r="I87" s="6">
        <v>2.39105224609375</v>
      </c>
      <c r="J87" s="10">
        <v>151.9195556640625</v>
      </c>
      <c r="K87" s="6">
        <v>12.364845275878906</v>
      </c>
    </row>
    <row r="88" ht="14.25" customHeight="1">
      <c r="A88" s="5">
        <v>41863.58181712963</v>
      </c>
      <c r="B88" s="6">
        <v>15.8892822265625</v>
      </c>
      <c r="C88" s="8">
        <v>48441.203125</v>
      </c>
      <c r="D88" s="6">
        <v>31.643598556518555</v>
      </c>
      <c r="E88" s="9">
        <v>2.539794921875</v>
      </c>
      <c r="F88" s="6">
        <v>8.2928466796875</v>
      </c>
      <c r="G88" s="10">
        <v>-87.646484375</v>
      </c>
      <c r="H88" s="6">
        <v>9.980010986328125</v>
      </c>
      <c r="I88" s="6">
        <v>2.3834228515625</v>
      </c>
      <c r="J88" s="10">
        <v>151.35726928710938</v>
      </c>
      <c r="K88" s="6">
        <v>12.349902153015137</v>
      </c>
    </row>
    <row r="89" ht="14.25" customHeight="1">
      <c r="A89" s="5">
        <v>41863.581828703704</v>
      </c>
      <c r="B89" s="6">
        <v>15.7025146484375</v>
      </c>
      <c r="C89" s="8">
        <v>48526.63671875</v>
      </c>
      <c r="D89" s="6">
        <v>31.702552795410156</v>
      </c>
      <c r="E89" s="9">
        <v>2.56109619140625</v>
      </c>
      <c r="F89" s="6">
        <v>8.283447265625</v>
      </c>
      <c r="G89" s="10">
        <v>-87.09716796875</v>
      </c>
      <c r="H89" s="6">
        <v>10.449981689453125</v>
      </c>
      <c r="I89" s="6">
        <v>2.49786376953125</v>
      </c>
      <c r="J89" s="10">
        <v>150.89569091796875</v>
      </c>
      <c r="K89" s="6">
        <v>12.353628158569336</v>
      </c>
    </row>
    <row r="90" ht="14.25" customHeight="1">
      <c r="A90" s="5">
        <v>41863.581828703704</v>
      </c>
      <c r="B90" s="6">
        <v>15.51025390625</v>
      </c>
      <c r="C90" s="8">
        <v>48635.74609375</v>
      </c>
      <c r="D90" s="6">
        <v>31.778398513793945</v>
      </c>
      <c r="E90" s="9">
        <v>2.5906982421875</v>
      </c>
      <c r="F90" s="6">
        <v>8.274261474609375</v>
      </c>
      <c r="G90" s="10">
        <v>-86.48681640625</v>
      </c>
      <c r="H90" s="6">
        <v>10.4248046875</v>
      </c>
      <c r="I90" s="6">
        <v>2.490234375</v>
      </c>
      <c r="J90" s="10">
        <v>150.51803588867188</v>
      </c>
      <c r="K90" s="6">
        <v>12.363761901855469</v>
      </c>
    </row>
    <row r="91" ht="14.25" customHeight="1">
      <c r="A91" s="5">
        <v>41863.58184027778</v>
      </c>
      <c r="B91" s="6">
        <v>15.3363037109375</v>
      </c>
      <c r="C91" s="8">
        <v>48744.08984375</v>
      </c>
      <c r="D91" s="6">
        <v>31.853824615478516</v>
      </c>
      <c r="E91" s="9">
        <v>2.61627197265625</v>
      </c>
      <c r="F91" s="6">
        <v>8.26507568359375</v>
      </c>
      <c r="G91" s="10">
        <v>-85.9375</v>
      </c>
      <c r="H91" s="6">
        <v>10.366058349609375</v>
      </c>
      <c r="I91" s="6">
        <v>2.478790283203125</v>
      </c>
      <c r="J91" s="10">
        <v>150.140380859375</v>
      </c>
      <c r="K91" s="6">
        <v>12.370327949523926</v>
      </c>
    </row>
    <row r="92" ht="14.25" customHeight="1">
      <c r="A92" s="5">
        <v>41863.58184027778</v>
      </c>
      <c r="B92" s="6">
        <v>15.18524169921875</v>
      </c>
      <c r="C92" s="8">
        <v>48843.86328125</v>
      </c>
      <c r="D92" s="6">
        <v>31.923301696777344</v>
      </c>
      <c r="E92" s="9">
        <v>2.63848876953125</v>
      </c>
      <c r="F92" s="6">
        <v>8.25567626953125</v>
      </c>
      <c r="G92" s="10">
        <v>-85.3271484375</v>
      </c>
      <c r="H92" s="6">
        <v>10.7269287109375</v>
      </c>
      <c r="I92" s="6">
        <v>2.562713623046875</v>
      </c>
      <c r="J92" s="10">
        <v>149.61166381835938</v>
      </c>
      <c r="K92" s="6">
        <v>12.358357429504395</v>
      </c>
    </row>
    <row r="93" ht="14.25" customHeight="1">
      <c r="A93" s="5">
        <v>41863.58185185185</v>
      </c>
      <c r="B93" s="6">
        <v>15.067138671875</v>
      </c>
      <c r="C93" s="8">
        <v>48907.53125</v>
      </c>
      <c r="D93" s="6">
        <v>31.967065811157227</v>
      </c>
      <c r="E93" s="9">
        <v>2.6580810546875</v>
      </c>
      <c r="F93" s="6">
        <v>8.246063232421875</v>
      </c>
      <c r="G93" s="10">
        <v>-84.77783203125</v>
      </c>
      <c r="H93" s="6">
        <v>10.567474365234375</v>
      </c>
      <c r="I93" s="6">
        <v>2.524566650390625</v>
      </c>
      <c r="J93" s="10">
        <v>149.09133911132812</v>
      </c>
      <c r="K93" s="6">
        <v>12.341161727905273</v>
      </c>
    </row>
    <row r="94" ht="14.25" customHeight="1">
      <c r="A94" s="5">
        <v>41863.58185185185</v>
      </c>
      <c r="B94" s="6">
        <v>14.95269775390625</v>
      </c>
      <c r="C94" s="8">
        <v>48955.2265625</v>
      </c>
      <c r="D94" s="6">
        <v>31.999181747436523</v>
      </c>
      <c r="E94" s="9">
        <v>2.67547607421875</v>
      </c>
      <c r="F94" s="6">
        <v>8.237091064453125</v>
      </c>
      <c r="G94" s="10">
        <v>-84.228515625</v>
      </c>
      <c r="H94" s="6">
        <v>10.634613037109375</v>
      </c>
      <c r="I94" s="6">
        <v>2.539825439453125</v>
      </c>
      <c r="J94" s="10">
        <v>148.59619140625</v>
      </c>
      <c r="K94" s="6">
        <v>12.325531959533691</v>
      </c>
    </row>
    <row r="95" ht="14.25" customHeight="1">
      <c r="A95" s="5">
        <v>41863.58186342593</v>
      </c>
      <c r="B95" s="6">
        <v>14.8419189453125</v>
      </c>
      <c r="C95" s="8">
        <v>48991.66015625</v>
      </c>
      <c r="D95" s="6">
        <v>32.02308654785156</v>
      </c>
      <c r="E95" s="9">
        <v>2.690673828125</v>
      </c>
      <c r="F95" s="6">
        <v>8.22833251953125</v>
      </c>
      <c r="G95" s="10">
        <v>-83.67919921875</v>
      </c>
      <c r="H95" s="6">
        <v>11.75079345703125</v>
      </c>
      <c r="I95" s="6">
        <v>2.806854248046875</v>
      </c>
      <c r="J95" s="10">
        <v>148.11782836914062</v>
      </c>
      <c r="K95" s="6">
        <v>12.31169605255127</v>
      </c>
    </row>
    <row r="96" ht="14.25" customHeight="1">
      <c r="A96" s="5">
        <v>41863.58186342593</v>
      </c>
      <c r="B96" s="6">
        <v>14.7430419921875</v>
      </c>
      <c r="C96" s="8">
        <v>49014.421875</v>
      </c>
      <c r="D96" s="6">
        <v>32.0372428894043</v>
      </c>
      <c r="E96" s="9">
        <v>2.70391845703125</v>
      </c>
      <c r="F96" s="6">
        <v>8.21978759765625</v>
      </c>
      <c r="G96" s="10">
        <v>-83.19091796875</v>
      </c>
      <c r="H96" s="6">
        <v>13.001251220703125</v>
      </c>
      <c r="I96" s="6">
        <v>3.10821533203125</v>
      </c>
      <c r="J96" s="10">
        <v>147.53036499023438</v>
      </c>
      <c r="K96" s="6">
        <v>12.2861328125</v>
      </c>
    </row>
    <row r="97" ht="14.25" customHeight="1">
      <c r="A97" s="5">
        <v>41863.581875</v>
      </c>
      <c r="B97" s="6">
        <v>14.638671875</v>
      </c>
      <c r="C97" s="8">
        <v>49051.01953125</v>
      </c>
      <c r="D97" s="6">
        <v>32.06126022338867</v>
      </c>
      <c r="E97" s="9">
        <v>2.71551513671875</v>
      </c>
      <c r="F97" s="6">
        <v>8.21209716796875</v>
      </c>
      <c r="G97" s="10">
        <v>-82.70263671875</v>
      </c>
      <c r="H97" s="6">
        <v>12.799835205078125</v>
      </c>
      <c r="I97" s="6">
        <v>3.058624267578125</v>
      </c>
      <c r="J97" s="10">
        <v>146.95968627929688</v>
      </c>
      <c r="K97" s="6">
        <v>12.26247787475586</v>
      </c>
    </row>
    <row r="98" ht="14.25" customHeight="1">
      <c r="A98" s="5">
        <v>41863.581875</v>
      </c>
      <c r="B98" s="6">
        <v>14.54986572265625</v>
      </c>
      <c r="C98" s="8">
        <v>49070.77734375</v>
      </c>
      <c r="D98" s="6">
        <v>32.07334899902344</v>
      </c>
      <c r="E98" s="9">
        <v>2.725830078125</v>
      </c>
      <c r="F98" s="6">
        <v>8.20440673828125</v>
      </c>
      <c r="G98" s="10">
        <v>-82.275390625</v>
      </c>
      <c r="H98" s="6">
        <v>12.43896484375</v>
      </c>
      <c r="I98" s="6">
        <v>2.974700927734375</v>
      </c>
      <c r="J98" s="10">
        <v>146.33865356445312</v>
      </c>
      <c r="K98" s="6">
        <v>12.231383323669434</v>
      </c>
    </row>
    <row r="99" ht="14.25" customHeight="1">
      <c r="A99" s="5">
        <v>41863.58188657407</v>
      </c>
      <c r="B99" s="6">
        <v>14.50775146484375</v>
      </c>
      <c r="C99" s="8">
        <v>49037.08984375</v>
      </c>
      <c r="D99" s="6">
        <v>32.04770278930664</v>
      </c>
      <c r="E99" s="9">
        <v>2.73504638671875</v>
      </c>
      <c r="F99" s="6">
        <v>8.1971435546875</v>
      </c>
      <c r="G99" s="10">
        <v>-81.84814453125</v>
      </c>
      <c r="H99" s="6">
        <v>12.103271484375</v>
      </c>
      <c r="I99" s="6">
        <v>2.890777587890625</v>
      </c>
      <c r="J99" s="10">
        <v>145.66726684570312</v>
      </c>
      <c r="K99" s="6">
        <v>12.187767028808594</v>
      </c>
    </row>
    <row r="100" ht="14.25" customHeight="1">
      <c r="A100" s="5">
        <v>41863.58188657407</v>
      </c>
      <c r="B100" s="6">
        <v>14.46563720703125</v>
      </c>
      <c r="C100" s="8">
        <v>49007.0078125</v>
      </c>
      <c r="D100" s="6">
        <v>32.02467727661133</v>
      </c>
      <c r="E100" s="9">
        <v>2.7431640625</v>
      </c>
      <c r="F100" s="6">
        <v>8.190093994140625</v>
      </c>
      <c r="G100" s="10">
        <v>-81.4208984375</v>
      </c>
      <c r="H100" s="6">
        <v>11.834716796875</v>
      </c>
      <c r="I100" s="6">
        <v>2.829742431640625</v>
      </c>
      <c r="J100" s="10">
        <v>145.04623413085938</v>
      </c>
      <c r="K100" s="6">
        <v>12.147733688354492</v>
      </c>
    </row>
    <row r="101" ht="14.25" customHeight="1">
      <c r="A101" s="5">
        <v>41863.58189814815</v>
      </c>
      <c r="B101" s="6">
        <v>14.42718505859375</v>
      </c>
      <c r="C101" s="8">
        <v>48978.68359375</v>
      </c>
      <c r="D101" s="6">
        <v>32.003028869628906</v>
      </c>
      <c r="E101" s="9">
        <v>2.75048828125</v>
      </c>
      <c r="F101" s="6">
        <v>8.183685302734375</v>
      </c>
      <c r="G101" s="10">
        <v>-81.0546875</v>
      </c>
      <c r="H101" s="6">
        <v>11.61651611328125</v>
      </c>
      <c r="I101" s="6">
        <v>2.776336669921875</v>
      </c>
      <c r="J101" s="10">
        <v>144.44198608398438</v>
      </c>
      <c r="K101" s="6">
        <v>12.108363151550293</v>
      </c>
    </row>
    <row r="102" ht="14.25" customHeight="1">
      <c r="A102" s="5">
        <v>41863.58189814815</v>
      </c>
      <c r="B102" s="6">
        <v>14.39422607421875</v>
      </c>
      <c r="C102" s="8">
        <v>48948.7734375</v>
      </c>
      <c r="D102" s="6">
        <v>31.980361938476562</v>
      </c>
      <c r="E102" s="9">
        <v>2.75689697265625</v>
      </c>
      <c r="F102" s="6">
        <v>8.177490234375</v>
      </c>
      <c r="G102" s="10">
        <v>-80.6884765625</v>
      </c>
      <c r="H102" s="6">
        <v>11.373138427734375</v>
      </c>
      <c r="I102" s="6">
        <v>2.715301513671875</v>
      </c>
      <c r="J102" s="10">
        <v>143.7957763671875</v>
      </c>
      <c r="K102" s="6">
        <v>12.063497543334961</v>
      </c>
    </row>
    <row r="103" ht="14.25" customHeight="1">
      <c r="A103" s="5">
        <v>41863.58190972222</v>
      </c>
      <c r="B103" s="6">
        <v>14.36309814453125</v>
      </c>
      <c r="C103" s="8">
        <v>48922.7890625</v>
      </c>
      <c r="D103" s="6">
        <v>31.960601806640625</v>
      </c>
      <c r="E103" s="9">
        <v>2.76263427734375</v>
      </c>
      <c r="F103" s="6">
        <v>8.1715087890625</v>
      </c>
      <c r="G103" s="10">
        <v>-80.322265625</v>
      </c>
      <c r="H103" s="6">
        <v>11.087799072265625</v>
      </c>
      <c r="I103" s="6">
        <v>2.65045166015625</v>
      </c>
      <c r="J103" s="10">
        <v>143.16635131835938</v>
      </c>
      <c r="K103" s="6">
        <v>12.02017879486084</v>
      </c>
    </row>
    <row r="104" ht="14.25" customHeight="1">
      <c r="A104" s="5">
        <v>41863.58190972222</v>
      </c>
      <c r="B104" s="6">
        <v>14.334716796875</v>
      </c>
      <c r="C104" s="8">
        <v>48898.453125</v>
      </c>
      <c r="D104" s="6">
        <v>31.942110061645508</v>
      </c>
      <c r="E104" s="9">
        <v>2.76751708984375</v>
      </c>
      <c r="F104" s="6">
        <v>8.16595458984375</v>
      </c>
      <c r="G104" s="10">
        <v>-80.01708984375</v>
      </c>
      <c r="H104" s="6">
        <v>10.802459716796875</v>
      </c>
      <c r="I104" s="6">
        <v>2.581787109375</v>
      </c>
      <c r="J104" s="10">
        <v>142.57049560546875</v>
      </c>
      <c r="K104" s="6">
        <v>11.978376388549805</v>
      </c>
    </row>
    <row r="105" ht="14.25" customHeight="1">
      <c r="A105" s="5">
        <v>41863.581921296296</v>
      </c>
      <c r="B105" s="6">
        <v>14.30908203125</v>
      </c>
      <c r="C105" s="8">
        <v>48877.0</v>
      </c>
      <c r="D105" s="6">
        <v>31.925796508789062</v>
      </c>
      <c r="E105" s="9">
        <v>2.771728515625</v>
      </c>
      <c r="F105" s="6">
        <v>8.16082763671875</v>
      </c>
      <c r="G105" s="10">
        <v>-79.7119140625</v>
      </c>
      <c r="H105" s="6">
        <v>10.752105712890625</v>
      </c>
      <c r="I105" s="6">
        <v>2.570343017578125</v>
      </c>
      <c r="J105" s="10">
        <v>141.92428588867188</v>
      </c>
      <c r="K105" s="6">
        <v>11.931358337402344</v>
      </c>
    </row>
    <row r="106" ht="14.25" customHeight="1">
      <c r="A106" s="5">
        <v>41863.581921296296</v>
      </c>
      <c r="B106" s="6">
        <v>14.28253173828125</v>
      </c>
      <c r="C106" s="8">
        <v>48861.50390625</v>
      </c>
      <c r="D106" s="6">
        <v>31.91378402709961</v>
      </c>
      <c r="E106" s="9">
        <v>2.7755126953125</v>
      </c>
      <c r="F106" s="6">
        <v>8.155914306640625</v>
      </c>
      <c r="G106" s="10">
        <v>-79.40673828125</v>
      </c>
      <c r="H106" s="6">
        <v>10.684967041015625</v>
      </c>
      <c r="I106" s="6">
        <v>2.55126953125</v>
      </c>
      <c r="J106" s="10">
        <v>141.32003784179688</v>
      </c>
      <c r="K106" s="6">
        <v>11.887480735778809</v>
      </c>
    </row>
    <row r="107" ht="14.25" customHeight="1">
      <c r="A107" s="5">
        <v>41863.58193287037</v>
      </c>
      <c r="B107" s="6">
        <v>14.2578125</v>
      </c>
      <c r="C107" s="8">
        <v>48848.75390625</v>
      </c>
      <c r="D107" s="6">
        <v>31.9038143157959</v>
      </c>
      <c r="E107" s="9">
        <v>2.77886962890625</v>
      </c>
      <c r="F107" s="6">
        <v>8.151214599609375</v>
      </c>
      <c r="G107" s="10">
        <v>-79.16259765625</v>
      </c>
      <c r="H107" s="6">
        <v>10.693359375</v>
      </c>
      <c r="I107" s="6">
        <v>2.555084228515625</v>
      </c>
      <c r="J107" s="10">
        <v>140.7073974609375</v>
      </c>
      <c r="K107" s="6">
        <v>11.84286880493164</v>
      </c>
    </row>
    <row r="108" ht="14.25" customHeight="1">
      <c r="A108" s="5">
        <v>41863.58193287037</v>
      </c>
      <c r="B108" s="6">
        <v>14.23309326171875</v>
      </c>
      <c r="C108" s="8">
        <v>48842.13671875</v>
      </c>
      <c r="D108" s="6">
        <v>31.898303985595703</v>
      </c>
      <c r="E108" s="9">
        <v>2.78179931640625</v>
      </c>
      <c r="F108" s="6">
        <v>8.14715576171875</v>
      </c>
      <c r="G108" s="10">
        <v>-78.91845703125</v>
      </c>
      <c r="H108" s="6">
        <v>10.491943359375</v>
      </c>
      <c r="I108" s="6">
        <v>2.5054931640625</v>
      </c>
      <c r="J108" s="10">
        <v>140.11993408203125</v>
      </c>
      <c r="K108" s="6">
        <v>11.799330711364746</v>
      </c>
    </row>
    <row r="109" ht="14.25" customHeight="1">
      <c r="A109" s="5">
        <v>41863.58194444444</v>
      </c>
      <c r="B109" s="6">
        <v>14.20745849609375</v>
      </c>
      <c r="C109" s="8">
        <v>48840.27734375</v>
      </c>
      <c r="D109" s="6">
        <v>31.896224975585938</v>
      </c>
      <c r="E109" s="9">
        <v>2.7845458984375</v>
      </c>
      <c r="F109" s="6">
        <v>8.143096923828125</v>
      </c>
      <c r="G109" s="10">
        <v>-78.67431640625</v>
      </c>
      <c r="H109" s="6">
        <v>10.3240966796875</v>
      </c>
      <c r="I109" s="6">
        <v>2.46734619140625</v>
      </c>
      <c r="J109" s="10">
        <v>139.59121704101562</v>
      </c>
      <c r="K109" s="6">
        <v>11.761436462402344</v>
      </c>
    </row>
    <row r="110" ht="14.25" customHeight="1">
      <c r="A110" s="5">
        <v>41863.58194444444</v>
      </c>
      <c r="B110" s="6">
        <v>14.18182373046875</v>
      </c>
      <c r="C110" s="8">
        <v>48840.87890625</v>
      </c>
      <c r="D110" s="6">
        <v>31.89592933654785</v>
      </c>
      <c r="E110" s="9">
        <v>2.78692626953125</v>
      </c>
      <c r="F110" s="6">
        <v>8.139251708984375</v>
      </c>
      <c r="G110" s="10">
        <v>-78.43017578125</v>
      </c>
      <c r="H110" s="6">
        <v>10.097503662109375</v>
      </c>
      <c r="I110" s="6">
        <v>2.4139404296875</v>
      </c>
      <c r="J110" s="10">
        <v>139.0625</v>
      </c>
      <c r="K110" s="6">
        <v>11.723137855529785</v>
      </c>
    </row>
    <row r="111" ht="14.25" customHeight="1">
      <c r="A111" s="5">
        <v>41863.70700231481</v>
      </c>
      <c r="B111" s="6">
        <v>18.3447265625</v>
      </c>
      <c r="C111" s="8">
        <v>47955.2421875</v>
      </c>
      <c r="D111" s="6">
        <v>31.31308364868164</v>
      </c>
      <c r="E111" s="9">
        <v>-0.004473090171813965</v>
      </c>
      <c r="F111" s="6">
        <v>8.360565185546875</v>
      </c>
      <c r="G111" s="10">
        <v>-92.22412109375</v>
      </c>
      <c r="H111" s="6">
        <v>11.09619140625</v>
      </c>
      <c r="I111" s="6">
        <v>2.65045166015625</v>
      </c>
      <c r="J111" s="10">
        <v>161.43646240234375</v>
      </c>
      <c r="K111" s="6">
        <v>12.587236404418945</v>
      </c>
    </row>
    <row r="112" ht="14.25" customHeight="1">
      <c r="A112" s="5">
        <v>41863.70701388889</v>
      </c>
      <c r="B112" s="6">
        <v>18.35113525390625</v>
      </c>
      <c r="C112" s="8">
        <v>47954.11328125</v>
      </c>
      <c r="D112" s="6">
        <v>31.312278747558594</v>
      </c>
      <c r="E112" s="9">
        <v>-0.003373384475708008</v>
      </c>
      <c r="F112" s="6">
        <v>8.360992431640625</v>
      </c>
      <c r="G112" s="10">
        <v>-92.28515625</v>
      </c>
      <c r="H112" s="6">
        <v>11.09619140625</v>
      </c>
      <c r="I112" s="6">
        <v>2.65045166015625</v>
      </c>
      <c r="J112" s="10">
        <v>161.7889404296875</v>
      </c>
      <c r="K112" s="6">
        <v>12.613101959228516</v>
      </c>
    </row>
    <row r="113" ht="14.25" customHeight="1">
      <c r="A113" s="5">
        <v>41863.70701388889</v>
      </c>
      <c r="B113" s="6">
        <v>18.3575439453125</v>
      </c>
      <c r="C113" s="8">
        <v>47952.98046875</v>
      </c>
      <c r="D113" s="6">
        <v>31.311473846435547</v>
      </c>
      <c r="E113" s="9">
        <v>8.967220783233643E-4</v>
      </c>
      <c r="F113" s="6">
        <v>8.36163330078125</v>
      </c>
      <c r="G113" s="10">
        <v>-92.34619140625</v>
      </c>
      <c r="H113" s="6">
        <v>11.054229736328125</v>
      </c>
      <c r="I113" s="6">
        <v>2.642822265625</v>
      </c>
      <c r="J113" s="10">
        <v>162.225341796875</v>
      </c>
      <c r="K113" s="6">
        <v>12.645719528198242</v>
      </c>
    </row>
    <row r="114" ht="14.25" customHeight="1">
      <c r="A114" s="5">
        <v>41863.707025462965</v>
      </c>
      <c r="B114" s="6">
        <v>18.36395263671875</v>
      </c>
      <c r="C114" s="8">
        <v>47950.734375</v>
      </c>
      <c r="D114" s="6">
        <v>31.309852600097656</v>
      </c>
      <c r="E114" s="9">
        <v>0.009033441543579102</v>
      </c>
      <c r="F114" s="6">
        <v>8.362274169921875</v>
      </c>
      <c r="G114" s="10">
        <v>-92.34619140625</v>
      </c>
      <c r="H114" s="6">
        <v>11.104583740234375</v>
      </c>
      <c r="I114" s="6">
        <v>2.654266357421875</v>
      </c>
      <c r="J114" s="10">
        <v>162.58621215820312</v>
      </c>
      <c r="K114" s="6">
        <v>12.672331809997559</v>
      </c>
    </row>
    <row r="115" ht="14.25" customHeight="1">
      <c r="A115" s="5">
        <v>41863.707025462965</v>
      </c>
      <c r="B115" s="6">
        <v>18.36944580078125</v>
      </c>
      <c r="C115" s="8">
        <v>47950.5625</v>
      </c>
      <c r="D115" s="6">
        <v>31.30974769592285</v>
      </c>
      <c r="E115" s="9">
        <v>0.02118682861328125</v>
      </c>
      <c r="F115" s="6">
        <v>8.362701416015625</v>
      </c>
      <c r="G115" s="10">
        <v>-92.4072265625</v>
      </c>
      <c r="H115" s="6">
        <v>11.054229736328125</v>
      </c>
      <c r="I115" s="6">
        <v>2.642822265625</v>
      </c>
      <c r="J115" s="10">
        <v>163.00582885742188</v>
      </c>
      <c r="K115" s="6">
        <v>12.704061508178711</v>
      </c>
    </row>
    <row r="116" ht="14.25" customHeight="1">
      <c r="A116" s="5">
        <v>41863.707037037035</v>
      </c>
      <c r="B116" s="6">
        <v>18.37493896484375</v>
      </c>
      <c r="C116" s="8">
        <v>47948.16015625</v>
      </c>
      <c r="D116" s="6">
        <v>31.30801010131836</v>
      </c>
      <c r="E116" s="9">
        <v>0.033184051513671875</v>
      </c>
      <c r="F116" s="6">
        <v>8.363128662109375</v>
      </c>
      <c r="G116" s="10">
        <v>-92.4072265625</v>
      </c>
      <c r="H116" s="6">
        <v>11.029052734375</v>
      </c>
      <c r="I116" s="6">
        <v>2.63519287109375</v>
      </c>
      <c r="J116" s="10">
        <v>163.36669921875</v>
      </c>
      <c r="K116" s="6">
        <v>12.730820655822754</v>
      </c>
    </row>
    <row r="117" ht="14.25" customHeight="1">
      <c r="A117" s="5">
        <v>41863.707037037035</v>
      </c>
      <c r="B117" s="6">
        <v>18.3795166015625</v>
      </c>
      <c r="C117" s="8">
        <v>47948.94921875</v>
      </c>
      <c r="D117" s="6">
        <v>31.30859375</v>
      </c>
      <c r="E117" s="9">
        <v>0.05316162109375</v>
      </c>
      <c r="F117" s="6">
        <v>8.36334228515625</v>
      </c>
      <c r="G117" s="10">
        <v>-92.4072265625</v>
      </c>
      <c r="H117" s="6">
        <v>11.054229736328125</v>
      </c>
      <c r="I117" s="6">
        <v>2.642822265625</v>
      </c>
      <c r="J117" s="10">
        <v>163.68560791015625</v>
      </c>
      <c r="K117" s="6">
        <v>12.754912376403809</v>
      </c>
    </row>
    <row r="118" ht="14.25" customHeight="1">
      <c r="A118" s="5">
        <v>41863.70704861111</v>
      </c>
      <c r="B118" s="6">
        <v>18.3831787109375</v>
      </c>
      <c r="C118" s="8">
        <v>47950.69921875</v>
      </c>
      <c r="D118" s="6">
        <v>31.30987548828125</v>
      </c>
      <c r="E118" s="9">
        <v>0.08196067810058594</v>
      </c>
      <c r="F118" s="6">
        <v>8.36376953125</v>
      </c>
      <c r="G118" s="10">
        <v>-92.46826171875</v>
      </c>
      <c r="H118" s="6">
        <v>11.07940673828125</v>
      </c>
      <c r="I118" s="6">
        <v>2.646636962890625</v>
      </c>
      <c r="J118" s="10">
        <v>163.97933959960938</v>
      </c>
      <c r="K118" s="6">
        <v>12.77628231048584</v>
      </c>
    </row>
    <row r="119" ht="14.25" customHeight="1">
      <c r="A119" s="5">
        <v>41863.70704861111</v>
      </c>
      <c r="B119" s="6">
        <v>18.3868408203125</v>
      </c>
      <c r="C119" s="8">
        <v>47951.328125</v>
      </c>
      <c r="D119" s="6">
        <v>31.310346603393555</v>
      </c>
      <c r="E119" s="9">
        <v>0.11120033264160156</v>
      </c>
      <c r="F119" s="6">
        <v>8.36419677734375</v>
      </c>
      <c r="G119" s="10">
        <v>-92.46826171875</v>
      </c>
      <c r="H119" s="6">
        <v>11.14654541015625</v>
      </c>
      <c r="I119" s="6">
        <v>2.661895751953125</v>
      </c>
      <c r="J119" s="10">
        <v>164.34860229492188</v>
      </c>
      <c r="K119" s="6">
        <v>12.804280281066895</v>
      </c>
    </row>
    <row r="120" ht="14.25" customHeight="1">
      <c r="A120" s="5">
        <v>41863.70706018519</v>
      </c>
      <c r="B120" s="6">
        <v>18.38958740234375</v>
      </c>
      <c r="C120" s="8">
        <v>47950.6875</v>
      </c>
      <c r="D120" s="6">
        <v>31.309886932373047</v>
      </c>
      <c r="E120" s="9">
        <v>0.1410064697265625</v>
      </c>
      <c r="F120" s="6">
        <v>8.3646240234375</v>
      </c>
      <c r="G120" s="10">
        <v>-92.529296875</v>
      </c>
      <c r="H120" s="6">
        <v>11.154937744140625</v>
      </c>
      <c r="I120" s="6">
        <v>2.66571044921875</v>
      </c>
      <c r="J120" s="10">
        <v>164.65072631835938</v>
      </c>
      <c r="K120" s="6">
        <v>12.827095031738281</v>
      </c>
    </row>
    <row r="121" ht="14.25" customHeight="1">
      <c r="A121" s="5">
        <v>41863.70706018519</v>
      </c>
      <c r="B121" s="6">
        <v>18.39141845703125</v>
      </c>
      <c r="C121" s="8">
        <v>47952.1171875</v>
      </c>
      <c r="D121" s="6">
        <v>31.310932159423828</v>
      </c>
      <c r="E121" s="9">
        <v>0.17226028442382812</v>
      </c>
      <c r="F121" s="6">
        <v>8.36505126953125</v>
      </c>
      <c r="G121" s="10">
        <v>-92.529296875</v>
      </c>
      <c r="H121" s="6">
        <v>11.1297607421875</v>
      </c>
      <c r="I121" s="6">
        <v>2.6580810546875</v>
      </c>
      <c r="J121" s="10">
        <v>164.8773193359375</v>
      </c>
      <c r="K121" s="6">
        <v>12.84418773651123</v>
      </c>
    </row>
    <row r="122" ht="14.25" customHeight="1">
      <c r="A122" s="5">
        <v>41863.70707175926</v>
      </c>
      <c r="B122" s="6">
        <v>18.39324951171875</v>
      </c>
      <c r="C122" s="8">
        <v>47952.4375</v>
      </c>
      <c r="D122" s="6">
        <v>31.311168670654297</v>
      </c>
      <c r="E122" s="9">
        <v>0.20721435546875</v>
      </c>
      <c r="F122" s="6">
        <v>8.365478515625</v>
      </c>
      <c r="G122" s="10">
        <v>-92.529296875</v>
      </c>
      <c r="H122" s="6">
        <v>11.24725341796875</v>
      </c>
      <c r="I122" s="6">
        <v>2.6885986328125</v>
      </c>
      <c r="J122" s="10">
        <v>165.15426635742188</v>
      </c>
      <c r="K122" s="6">
        <v>12.865484237670898</v>
      </c>
    </row>
    <row r="123" ht="14.25" customHeight="1">
      <c r="A123" s="5">
        <v>41863.70707175926</v>
      </c>
      <c r="B123" s="6">
        <v>18.3941650390625</v>
      </c>
      <c r="C123" s="8">
        <v>47954.828125</v>
      </c>
      <c r="D123" s="6">
        <v>31.312917709350586</v>
      </c>
      <c r="E123" s="9">
        <v>0.24175262451171875</v>
      </c>
      <c r="F123" s="6">
        <v>8.36590576171875</v>
      </c>
      <c r="G123" s="10">
        <v>-92.59033203125</v>
      </c>
      <c r="H123" s="6">
        <v>11.339569091796875</v>
      </c>
      <c r="I123" s="6">
        <v>2.707672119140625</v>
      </c>
      <c r="J123" s="10">
        <v>165.39764404296875</v>
      </c>
      <c r="K123" s="6">
        <v>12.884328842163086</v>
      </c>
    </row>
    <row r="124" ht="14.25" customHeight="1">
      <c r="A124" s="5">
        <v>41863.707083333335</v>
      </c>
      <c r="B124" s="6">
        <v>18.39508056640625</v>
      </c>
      <c r="C124" s="8">
        <v>47956.10546875</v>
      </c>
      <c r="D124" s="6">
        <v>31.313852310180664</v>
      </c>
      <c r="E124" s="9">
        <v>0.27822113037109375</v>
      </c>
      <c r="F124" s="6">
        <v>8.3663330078125</v>
      </c>
      <c r="G124" s="10">
        <v>-92.59033203125</v>
      </c>
      <c r="H124" s="6">
        <v>11.58294677734375</v>
      </c>
      <c r="I124" s="6">
        <v>2.768707275390625</v>
      </c>
      <c r="J124" s="10">
        <v>165.64102172851562</v>
      </c>
      <c r="K124" s="6">
        <v>12.90271282196045</v>
      </c>
    </row>
    <row r="125" ht="14.25" customHeight="1">
      <c r="A125" s="5">
        <v>41863.707083333335</v>
      </c>
      <c r="B125" s="6">
        <v>18.39599609375</v>
      </c>
      <c r="C125" s="8">
        <v>47957.37890625</v>
      </c>
      <c r="D125" s="6">
        <v>31.314781188964844</v>
      </c>
      <c r="E125" s="9">
        <v>0.31616973876953125</v>
      </c>
      <c r="F125" s="6">
        <v>8.36676025390625</v>
      </c>
      <c r="G125" s="10">
        <v>-92.6513671875</v>
      </c>
      <c r="H125" s="6">
        <v>11.624908447265625</v>
      </c>
      <c r="I125" s="6">
        <v>2.776336669921875</v>
      </c>
      <c r="J125" s="10">
        <v>165.94314575195312</v>
      </c>
      <c r="K125" s="6">
        <v>12.925896644592285</v>
      </c>
    </row>
    <row r="126" ht="14.25" customHeight="1">
      <c r="A126" s="5">
        <v>41863.707094907404</v>
      </c>
      <c r="B126" s="6">
        <v>18.39599609375</v>
      </c>
      <c r="C126" s="8">
        <v>47958.49609375</v>
      </c>
      <c r="D126" s="6">
        <v>31.315595626831055</v>
      </c>
      <c r="E126" s="9">
        <v>0.35616302490234375</v>
      </c>
      <c r="F126" s="6">
        <v>8.3671875</v>
      </c>
      <c r="G126" s="10">
        <v>-92.6513671875</v>
      </c>
      <c r="H126" s="6">
        <v>11.68365478515625</v>
      </c>
      <c r="I126" s="6">
        <v>2.791595458984375</v>
      </c>
      <c r="J126" s="10">
        <v>166.19491577148438</v>
      </c>
      <c r="K126" s="6">
        <v>12.945443153381348</v>
      </c>
    </row>
    <row r="127" ht="14.25" customHeight="1">
      <c r="A127" s="5">
        <v>41863.707094907404</v>
      </c>
      <c r="B127" s="6">
        <v>18.39599609375</v>
      </c>
      <c r="C127" s="8">
        <v>47958.49609375</v>
      </c>
      <c r="D127" s="6">
        <v>31.315595626831055</v>
      </c>
      <c r="E127" s="9">
        <v>0.394439697265625</v>
      </c>
      <c r="F127" s="6">
        <v>8.36761474609375</v>
      </c>
      <c r="G127" s="10">
        <v>-92.6513671875</v>
      </c>
      <c r="H127" s="6">
        <v>11.574554443359375</v>
      </c>
      <c r="I127" s="6">
        <v>2.764892578125</v>
      </c>
      <c r="J127" s="10">
        <v>166.41311645507812</v>
      </c>
      <c r="K127" s="6">
        <v>12.96243953704834</v>
      </c>
    </row>
    <row r="128" ht="14.25" customHeight="1">
      <c r="A128" s="5">
        <v>41863.70710648148</v>
      </c>
      <c r="B128" s="6">
        <v>18.3941650390625</v>
      </c>
      <c r="C128" s="8">
        <v>47960.4140625</v>
      </c>
      <c r="D128" s="6">
        <v>31.316986083984375</v>
      </c>
      <c r="E128" s="9">
        <v>0.4279327392578125</v>
      </c>
      <c r="F128" s="6">
        <v>8.3680419921875</v>
      </c>
      <c r="G128" s="10">
        <v>-92.71240234375</v>
      </c>
      <c r="H128" s="6">
        <v>11.71722412109375</v>
      </c>
      <c r="I128" s="6">
        <v>2.799224853515625</v>
      </c>
      <c r="J128" s="10">
        <v>166.71524047851562</v>
      </c>
      <c r="K128" s="6">
        <v>12.986652374267578</v>
      </c>
    </row>
    <row r="129" ht="14.25" customHeight="1">
      <c r="A129" s="5">
        <v>41863.70710648148</v>
      </c>
      <c r="B129" s="6">
        <v>18.39324951171875</v>
      </c>
      <c r="C129" s="8">
        <v>47961.375</v>
      </c>
      <c r="D129" s="6">
        <v>31.317686080932617</v>
      </c>
      <c r="E129" s="9">
        <v>0.46429443359375</v>
      </c>
      <c r="F129" s="6">
        <v>8.36846923828125</v>
      </c>
      <c r="G129" s="10">
        <v>-92.71240234375</v>
      </c>
      <c r="H129" s="6">
        <v>11.692047119140625</v>
      </c>
      <c r="I129" s="6">
        <v>2.791595458984375</v>
      </c>
      <c r="J129" s="10">
        <v>166.9586181640625</v>
      </c>
      <c r="K129" s="6">
        <v>13.005536079406738</v>
      </c>
    </row>
    <row r="130" ht="14.25" customHeight="1">
      <c r="A130" s="5">
        <v>41863.70711805556</v>
      </c>
      <c r="B130" s="6">
        <v>18.39141845703125</v>
      </c>
      <c r="C130" s="8">
        <v>47963.296875</v>
      </c>
      <c r="D130" s="6">
        <v>31.319076538085938</v>
      </c>
      <c r="E130" s="9">
        <v>0.5037994384765625</v>
      </c>
      <c r="F130" s="6">
        <v>8.368896484375</v>
      </c>
      <c r="G130" s="10">
        <v>-92.7734375</v>
      </c>
      <c r="H130" s="6">
        <v>11.809539794921875</v>
      </c>
      <c r="I130" s="6">
        <v>2.822113037109375</v>
      </c>
      <c r="J130" s="10">
        <v>167.24395751953125</v>
      </c>
      <c r="K130" s="6">
        <v>13.027917861938477</v>
      </c>
    </row>
    <row r="131" ht="14.25" customHeight="1">
      <c r="A131" s="5">
        <v>41863.70711805556</v>
      </c>
      <c r="B131" s="6">
        <v>18.38958740234375</v>
      </c>
      <c r="C131" s="8">
        <v>47964.09765625</v>
      </c>
      <c r="D131" s="6">
        <v>31.319658279418945</v>
      </c>
      <c r="E131" s="9">
        <v>0.54949951171875</v>
      </c>
      <c r="F131" s="6">
        <v>8.36932373046875</v>
      </c>
      <c r="G131" s="10">
        <v>-92.7734375</v>
      </c>
      <c r="H131" s="6">
        <v>11.9354248046875</v>
      </c>
      <c r="I131" s="6">
        <v>2.852630615234375</v>
      </c>
      <c r="J131" s="10">
        <v>167.47894287109375</v>
      </c>
      <c r="K131" s="6">
        <v>13.046666145324707</v>
      </c>
    </row>
    <row r="132" ht="14.25" customHeight="1">
      <c r="A132" s="5">
        <v>41863.70712962963</v>
      </c>
      <c r="B132" s="6">
        <v>18.38775634765625</v>
      </c>
      <c r="C132" s="8">
        <v>47966.01953125</v>
      </c>
      <c r="D132" s="6">
        <v>31.32105255126953</v>
      </c>
      <c r="E132" s="9">
        <v>0.5997467041015625</v>
      </c>
      <c r="F132" s="6">
        <v>8.369964599609375</v>
      </c>
      <c r="G132" s="10">
        <v>-92.7734375</v>
      </c>
      <c r="H132" s="6">
        <v>12.0361328125</v>
      </c>
      <c r="I132" s="6">
        <v>2.875518798828125</v>
      </c>
      <c r="J132" s="10">
        <v>167.66357421875</v>
      </c>
      <c r="K132" s="6">
        <v>13.061203956604004</v>
      </c>
    </row>
    <row r="133" ht="14.25" customHeight="1">
      <c r="A133" s="5">
        <v>41863.70712962963</v>
      </c>
      <c r="B133" s="6">
        <v>18.385009765625</v>
      </c>
      <c r="C133" s="8">
        <v>47967.78125</v>
      </c>
      <c r="D133" s="6">
        <v>31.32232666015625</v>
      </c>
      <c r="E133" s="9">
        <v>0.6484222412109375</v>
      </c>
      <c r="F133" s="6">
        <v>8.370391845703125</v>
      </c>
      <c r="G133" s="10">
        <v>-92.83447265625</v>
      </c>
      <c r="H133" s="6">
        <v>11.968994140625</v>
      </c>
      <c r="I133" s="6">
        <v>2.860260009765625</v>
      </c>
      <c r="J133" s="10">
        <v>167.87338256835938</v>
      </c>
      <c r="K133" s="6">
        <v>13.078219413757324</v>
      </c>
    </row>
    <row r="134" ht="14.25" customHeight="1">
      <c r="A134" s="5">
        <v>41863.707141203704</v>
      </c>
      <c r="B134" s="6">
        <v>18.3831787109375</v>
      </c>
      <c r="C134" s="8">
        <v>47969.69921875</v>
      </c>
      <c r="D134" s="6">
        <v>31.3237247467041</v>
      </c>
      <c r="E134" s="9">
        <v>0.6996612548828125</v>
      </c>
      <c r="F134" s="6">
        <v>8.370819091796875</v>
      </c>
      <c r="G134" s="10">
        <v>-92.83447265625</v>
      </c>
      <c r="H134" s="6">
        <v>11.85150146484375</v>
      </c>
      <c r="I134" s="6">
        <v>2.83355712890625</v>
      </c>
      <c r="J134" s="10">
        <v>168.0999755859375</v>
      </c>
      <c r="K134" s="6">
        <v>13.096253395080566</v>
      </c>
    </row>
    <row r="135" ht="14.25" customHeight="1">
      <c r="A135" s="5">
        <v>41863.707141203704</v>
      </c>
      <c r="B135" s="6">
        <v>18.38043212890625</v>
      </c>
      <c r="C135" s="8">
        <v>47968.109375</v>
      </c>
      <c r="D135" s="6">
        <v>31.322553634643555</v>
      </c>
      <c r="E135" s="9">
        <v>0.7580413818359375</v>
      </c>
      <c r="F135" s="6">
        <v>8.371246337890625</v>
      </c>
      <c r="G135" s="10">
        <v>-92.8955078125</v>
      </c>
      <c r="H135" s="6">
        <v>11.775970458984375</v>
      </c>
      <c r="I135" s="6">
        <v>2.814483642578125</v>
      </c>
      <c r="J135" s="10">
        <v>168.38531494140625</v>
      </c>
      <c r="K135" s="6">
        <v>13.119524002075195</v>
      </c>
    </row>
    <row r="136" ht="14.25" customHeight="1">
      <c r="A136" s="5">
        <v>41863.70715277778</v>
      </c>
      <c r="B136" s="6">
        <v>18.377685546875</v>
      </c>
      <c r="C136" s="8">
        <v>47968.75390625</v>
      </c>
      <c r="D136" s="6">
        <v>31.323020935058594</v>
      </c>
      <c r="E136" s="9">
        <v>0.817230224609375</v>
      </c>
      <c r="F136" s="6">
        <v>8.371673583984375</v>
      </c>
      <c r="G136" s="10">
        <v>-92.8955078125</v>
      </c>
      <c r="H136" s="6">
        <v>11.6668701171875</v>
      </c>
      <c r="I136" s="6">
        <v>2.78778076171875</v>
      </c>
      <c r="J136" s="10">
        <v>168.5699462890625</v>
      </c>
      <c r="K136" s="6">
        <v>13.133944511413574</v>
      </c>
    </row>
    <row r="137" ht="14.25" customHeight="1">
      <c r="A137" s="5">
        <v>41863.70715277778</v>
      </c>
      <c r="B137" s="6">
        <v>18.3740234375</v>
      </c>
      <c r="C137" s="8">
        <v>47969.2421875</v>
      </c>
      <c r="D137" s="6">
        <v>31.323366165161133</v>
      </c>
      <c r="E137" s="9">
        <v>0.878662109375</v>
      </c>
      <c r="F137" s="6">
        <v>8.37188720703125</v>
      </c>
      <c r="G137" s="10">
        <v>-92.8955078125</v>
      </c>
      <c r="H137" s="6">
        <v>11.725616455078125</v>
      </c>
      <c r="I137" s="6">
        <v>2.80303955078125</v>
      </c>
      <c r="J137" s="10">
        <v>168.59512329101562</v>
      </c>
      <c r="K137" s="6">
        <v>13.137338638305664</v>
      </c>
    </row>
    <row r="138" ht="14.25" customHeight="1">
      <c r="A138" s="5">
        <v>41863.70716435185</v>
      </c>
      <c r="B138" s="6">
        <v>18.370361328125</v>
      </c>
      <c r="C138" s="8">
        <v>47952.95703125</v>
      </c>
      <c r="D138" s="6">
        <v>31.311491012573242</v>
      </c>
      <c r="E138" s="9">
        <v>0.9445037841796875</v>
      </c>
      <c r="F138" s="6">
        <v>8.371673583984375</v>
      </c>
      <c r="G138" s="10">
        <v>-92.8955078125</v>
      </c>
      <c r="H138" s="6">
        <v>11.692047119140625</v>
      </c>
      <c r="I138" s="6">
        <v>2.79541015625</v>
      </c>
      <c r="J138" s="10">
        <v>168.62869262695312</v>
      </c>
      <c r="K138" s="6">
        <v>13.141640663146973</v>
      </c>
    </row>
    <row r="139" ht="14.25" customHeight="1">
      <c r="A139" s="5">
        <v>41863.70716435185</v>
      </c>
      <c r="B139" s="6">
        <v>18.36029052734375</v>
      </c>
      <c r="C139" s="8">
        <v>47941.15234375</v>
      </c>
      <c r="D139" s="6">
        <v>31.30286407470703</v>
      </c>
      <c r="E139" s="9">
        <v>1.010711669921875</v>
      </c>
      <c r="F139" s="6">
        <v>8.37103271484375</v>
      </c>
      <c r="G139" s="10">
        <v>-92.8955078125</v>
      </c>
      <c r="H139" s="6">
        <v>11.658477783203125</v>
      </c>
      <c r="I139" s="6">
        <v>2.783966064453125</v>
      </c>
      <c r="J139" s="10">
        <v>168.77975463867188</v>
      </c>
      <c r="K139" s="6">
        <v>13.15637493133545</v>
      </c>
    </row>
    <row r="140" ht="14.25" customHeight="1">
      <c r="A140" s="5">
        <v>41863.70717592593</v>
      </c>
      <c r="B140" s="6">
        <v>18.34197998046875</v>
      </c>
      <c r="C140" s="8">
        <v>47933.51171875</v>
      </c>
      <c r="D140" s="6">
        <v>31.29724884033203</v>
      </c>
      <c r="E140" s="9">
        <v>1.07989501953125</v>
      </c>
      <c r="F140" s="6">
        <v>8.37060546875</v>
      </c>
      <c r="G140" s="10">
        <v>-92.83447265625</v>
      </c>
      <c r="H140" s="6">
        <v>11.6668701171875</v>
      </c>
      <c r="I140" s="6">
        <v>2.78778076171875</v>
      </c>
      <c r="J140" s="10">
        <v>168.84689331054688</v>
      </c>
      <c r="K140" s="6">
        <v>13.167224884033203</v>
      </c>
    </row>
    <row r="141" ht="14.25" customHeight="1">
      <c r="A141" s="5">
        <v>41863.70717592593</v>
      </c>
      <c r="B141" s="6">
        <v>18.31817626953125</v>
      </c>
      <c r="C141" s="8">
        <v>47912.59375</v>
      </c>
      <c r="D141" s="6">
        <v>31.28194808959961</v>
      </c>
      <c r="E141" s="9">
        <v>1.1531982421875</v>
      </c>
      <c r="F141" s="6">
        <v>8.369964599609375</v>
      </c>
      <c r="G141" s="10">
        <v>-92.7734375</v>
      </c>
      <c r="H141" s="6">
        <v>11.675262451171875</v>
      </c>
      <c r="I141" s="6">
        <v>2.78778076171875</v>
      </c>
      <c r="J141" s="10">
        <v>168.62030029296875</v>
      </c>
      <c r="K141" s="6">
        <v>13.156692504882812</v>
      </c>
    </row>
    <row r="142" ht="14.25" customHeight="1">
      <c r="A142" s="5">
        <v>41863.7071875</v>
      </c>
      <c r="B142" s="6">
        <v>18.2843017578125</v>
      </c>
      <c r="C142" s="8">
        <v>47886.5390625</v>
      </c>
      <c r="D142" s="6">
        <v>31.26287269592285</v>
      </c>
      <c r="E142" s="9">
        <v>1.226226806640625</v>
      </c>
      <c r="F142" s="6">
        <v>8.369110107421875</v>
      </c>
      <c r="G142" s="10">
        <v>-92.71240234375</v>
      </c>
      <c r="H142" s="6">
        <v>12.010955810546875</v>
      </c>
      <c r="I142" s="6">
        <v>2.867889404296875</v>
      </c>
      <c r="J142" s="10">
        <v>168.51119995117188</v>
      </c>
      <c r="K142" s="6">
        <v>13.15754222869873</v>
      </c>
    </row>
    <row r="143" ht="14.25" customHeight="1">
      <c r="A143" s="5">
        <v>41863.7071875</v>
      </c>
      <c r="B143" s="6">
        <v>18.2403564453125</v>
      </c>
      <c r="C143" s="8">
        <v>47894.56640625</v>
      </c>
      <c r="D143" s="6">
        <v>31.26857566833496</v>
      </c>
      <c r="E143" s="9">
        <v>1.293609619140625</v>
      </c>
      <c r="F143" s="6">
        <v>8.367828369140625</v>
      </c>
      <c r="G143" s="10">
        <v>-92.6513671875</v>
      </c>
      <c r="H143" s="6">
        <v>11.943817138671875</v>
      </c>
      <c r="I143" s="6">
        <v>2.852630615234375</v>
      </c>
      <c r="J143" s="10">
        <v>168.3013916015625</v>
      </c>
      <c r="K143" s="6">
        <v>13.151883125305176</v>
      </c>
    </row>
    <row r="144" ht="14.25" customHeight="1">
      <c r="A144" s="5">
        <v>41863.70719907407</v>
      </c>
      <c r="B144" s="6">
        <v>18.19091796875</v>
      </c>
      <c r="C144" s="8">
        <v>47916.25</v>
      </c>
      <c r="D144" s="6">
        <v>31.284183502197266</v>
      </c>
      <c r="E144" s="9">
        <v>1.356170654296875</v>
      </c>
      <c r="F144" s="6">
        <v>8.366973876953125</v>
      </c>
      <c r="G144" s="10">
        <v>-92.59033203125</v>
      </c>
      <c r="H144" s="6">
        <v>11.98577880859375</v>
      </c>
      <c r="I144" s="6">
        <v>2.86407470703125</v>
      </c>
      <c r="J144" s="10">
        <v>168.15872192382812</v>
      </c>
      <c r="K144" s="6">
        <v>13.151751518249512</v>
      </c>
    </row>
    <row r="145" ht="14.25" customHeight="1">
      <c r="A145" s="5">
        <v>41863.70719907407</v>
      </c>
      <c r="B145" s="6">
        <v>18.135986328125</v>
      </c>
      <c r="C145" s="8">
        <v>47881.94140625</v>
      </c>
      <c r="D145" s="6">
        <v>31.259008407592773</v>
      </c>
      <c r="E145" s="9">
        <v>1.42315673828125</v>
      </c>
      <c r="F145" s="6">
        <v>8.365692138671875</v>
      </c>
      <c r="G145" s="10">
        <v>-92.46826171875</v>
      </c>
      <c r="H145" s="6">
        <v>12.0697021484375</v>
      </c>
      <c r="I145" s="6">
        <v>2.883148193359375</v>
      </c>
      <c r="J145" s="10">
        <v>167.8985595703125</v>
      </c>
      <c r="K145" s="6">
        <v>13.147137641906738</v>
      </c>
    </row>
    <row r="146" ht="14.25" customHeight="1">
      <c r="A146" s="5">
        <v>41863.70721064815</v>
      </c>
      <c r="B146" s="6">
        <v>18.0718994140625</v>
      </c>
      <c r="C146" s="8">
        <v>47849.328125</v>
      </c>
      <c r="D146" s="6">
        <v>31.235000610351562</v>
      </c>
      <c r="E146" s="9">
        <v>1.494659423828125</v>
      </c>
      <c r="F146" s="6">
        <v>8.3646240234375</v>
      </c>
      <c r="G146" s="10">
        <v>-92.4072265625</v>
      </c>
      <c r="H146" s="6">
        <v>12.22076416015625</v>
      </c>
      <c r="I146" s="6">
        <v>2.921295166015625</v>
      </c>
      <c r="J146" s="10">
        <v>167.57965087890625</v>
      </c>
      <c r="K146" s="6">
        <v>13.140108108520508</v>
      </c>
    </row>
    <row r="147" ht="14.25" customHeight="1">
      <c r="A147" s="5">
        <v>41863.70721064815</v>
      </c>
      <c r="B147" s="6">
        <v>18.00140380859375</v>
      </c>
      <c r="C147" s="8">
        <v>47832.38671875</v>
      </c>
      <c r="D147" s="6">
        <v>31.222366333007812</v>
      </c>
      <c r="E147" s="9">
        <v>1.564544677734375</v>
      </c>
      <c r="F147" s="6">
        <v>8.3629150390625</v>
      </c>
      <c r="G147" s="10">
        <v>-92.28515625</v>
      </c>
      <c r="H147" s="6">
        <v>12.212371826171875</v>
      </c>
      <c r="I147" s="6">
        <v>2.91748046875</v>
      </c>
      <c r="J147" s="10">
        <v>167.41180419921875</v>
      </c>
      <c r="K147" s="6">
        <v>13.14586067199707</v>
      </c>
    </row>
    <row r="148" ht="14.25" customHeight="1">
      <c r="A148" s="5">
        <v>41863.70722222222</v>
      </c>
      <c r="B148" s="6">
        <v>17.92083740234375</v>
      </c>
      <c r="C148" s="8">
        <v>47830.546875</v>
      </c>
      <c r="D148" s="6">
        <v>31.22064781188965</v>
      </c>
      <c r="E148" s="9">
        <v>1.630645751953125</v>
      </c>
      <c r="F148" s="6">
        <v>8.36077880859375</v>
      </c>
      <c r="G148" s="10">
        <v>-92.1630859375</v>
      </c>
      <c r="H148" s="6">
        <v>12.237548828125</v>
      </c>
      <c r="I148" s="6">
        <v>2.92510986328125</v>
      </c>
      <c r="J148" s="10">
        <v>167.24395751953125</v>
      </c>
      <c r="K148" s="6">
        <v>13.152833938598633</v>
      </c>
    </row>
    <row r="149" ht="14.25" customHeight="1">
      <c r="A149" s="5">
        <v>41863.70722222222</v>
      </c>
      <c r="B149" s="6">
        <v>17.19573974609375</v>
      </c>
      <c r="C149" s="8">
        <v>48473.5859375</v>
      </c>
      <c r="D149" s="6">
        <v>31.684040069580078</v>
      </c>
      <c r="E149" s="9">
        <v>1.69378662109375</v>
      </c>
      <c r="F149" s="6">
        <v>8.3603515625</v>
      </c>
      <c r="G149" s="10">
        <v>-91.9189453125</v>
      </c>
      <c r="H149" s="6">
        <v>12.18719482421875</v>
      </c>
      <c r="I149" s="6">
        <v>2.913665771484375</v>
      </c>
      <c r="J149" s="10">
        <v>168.35174560546875</v>
      </c>
      <c r="K149" s="6">
        <v>13.388077735900879</v>
      </c>
    </row>
    <row r="150" ht="14.25" customHeight="1">
      <c r="A150" s="5">
        <v>41863.707233796296</v>
      </c>
      <c r="B150" s="6">
        <v>17.01446533203125</v>
      </c>
      <c r="C150" s="8">
        <v>47369.5078125</v>
      </c>
      <c r="D150" s="6">
        <v>30.87895965576172</v>
      </c>
      <c r="E150" s="9">
        <v>1.7652587890625</v>
      </c>
      <c r="F150" s="6">
        <v>8.356292724609375</v>
      </c>
      <c r="G150" s="10">
        <v>-91.61376953125</v>
      </c>
      <c r="H150" s="6">
        <v>12.514495849609375</v>
      </c>
      <c r="I150" s="6">
        <v>2.989959716796875</v>
      </c>
      <c r="J150" s="10">
        <v>168.1671142578125</v>
      </c>
      <c r="K150" s="6">
        <v>13.485316276550293</v>
      </c>
    </row>
    <row r="151" ht="14.25" customHeight="1">
      <c r="A151" s="5">
        <v>41863.707233796296</v>
      </c>
      <c r="B151" s="6">
        <v>16.8487548828125</v>
      </c>
      <c r="C151" s="8">
        <v>47690.50390625</v>
      </c>
      <c r="D151" s="6">
        <v>31.110538482666016</v>
      </c>
      <c r="E151" s="9">
        <v>1.8331298828125</v>
      </c>
      <c r="F151" s="6">
        <v>8.351165771484375</v>
      </c>
      <c r="G151" s="10">
        <v>-91.30859375</v>
      </c>
      <c r="H151" s="6">
        <v>12.313079833984375</v>
      </c>
      <c r="I151" s="6">
        <v>2.94036865234375</v>
      </c>
      <c r="J151" s="10">
        <v>167.58804321289062</v>
      </c>
      <c r="K151" s="6">
        <v>13.463236808776855</v>
      </c>
    </row>
    <row r="152" ht="14.25" customHeight="1">
      <c r="A152" s="5">
        <v>41863.70724537037</v>
      </c>
      <c r="B152" s="6">
        <v>16.7242431640625</v>
      </c>
      <c r="C152" s="8">
        <v>47793.89453125</v>
      </c>
      <c r="D152" s="6">
        <v>31.184343338012695</v>
      </c>
      <c r="E152" s="9">
        <v>1.899993896484375</v>
      </c>
      <c r="F152" s="6">
        <v>8.345184326171875</v>
      </c>
      <c r="G152" s="10">
        <v>-90.9423828125</v>
      </c>
      <c r="H152" s="6">
        <v>12.145233154296875</v>
      </c>
      <c r="I152" s="6">
        <v>2.9022216796875</v>
      </c>
      <c r="J152" s="10">
        <v>166.79916381835938</v>
      </c>
      <c r="K152" s="6">
        <v>13.426691055297852</v>
      </c>
    </row>
    <row r="153" ht="14.25" customHeight="1">
      <c r="A153" s="5">
        <v>41863.70724537037</v>
      </c>
      <c r="B153" s="6">
        <v>16.553955078125</v>
      </c>
      <c r="C153" s="8">
        <v>47186.28515625</v>
      </c>
      <c r="D153" s="6">
        <v>30.74106788635254</v>
      </c>
      <c r="E153" s="9">
        <v>1.976104736328125</v>
      </c>
      <c r="F153" s="6">
        <v>8.339202880859375</v>
      </c>
      <c r="G153" s="10">
        <v>-90.51513671875</v>
      </c>
      <c r="H153" s="6">
        <v>11.994171142578125</v>
      </c>
      <c r="I153" s="6">
        <v>2.867889404296875</v>
      </c>
      <c r="J153" s="10">
        <v>166.32919311523438</v>
      </c>
      <c r="K153" s="6">
        <v>13.469776153564453</v>
      </c>
    </row>
    <row r="154" ht="14.25" customHeight="1">
      <c r="A154" s="5">
        <v>41863.70725694444</v>
      </c>
      <c r="B154" s="6">
        <v>16.2481689453125</v>
      </c>
      <c r="C154" s="8">
        <v>47170.11328125</v>
      </c>
      <c r="D154" s="6">
        <v>30.725444793701172</v>
      </c>
      <c r="E154" s="9">
        <v>2.0562744140625</v>
      </c>
      <c r="F154" s="6">
        <v>8.332366943359375</v>
      </c>
      <c r="G154" s="10">
        <v>-90.02685546875</v>
      </c>
      <c r="H154" s="6">
        <v>12.027740478515625</v>
      </c>
      <c r="I154" s="6">
        <v>2.875518798828125</v>
      </c>
      <c r="J154" s="10">
        <v>166.05224609375</v>
      </c>
      <c r="K154" s="6">
        <v>13.529450416564941</v>
      </c>
    </row>
    <row r="155" ht="14.25" customHeight="1">
      <c r="A155" s="5">
        <v>41863.70725694444</v>
      </c>
      <c r="B155" s="6">
        <v>15.902099609375</v>
      </c>
      <c r="C155" s="8">
        <v>47171.62109375</v>
      </c>
      <c r="D155" s="6">
        <v>30.721477508544922</v>
      </c>
      <c r="E155" s="9">
        <v>2.13482666015625</v>
      </c>
      <c r="F155" s="6">
        <v>8.325103759765625</v>
      </c>
      <c r="G155" s="10">
        <v>-89.53857421875</v>
      </c>
      <c r="H155" s="6">
        <v>11.85150146484375</v>
      </c>
      <c r="I155" s="6">
        <v>2.83355712890625</v>
      </c>
      <c r="J155" s="10">
        <v>165.4815673828125</v>
      </c>
      <c r="K155" s="6">
        <v>13.575784683227539</v>
      </c>
    </row>
    <row r="156" ht="14.25" customHeight="1">
      <c r="A156" s="5">
        <v>41863.70726851852</v>
      </c>
      <c r="B156" s="6">
        <v>15.50384521484375</v>
      </c>
      <c r="C156" s="8">
        <v>47260.40625</v>
      </c>
      <c r="D156" s="6">
        <v>30.779102325439453</v>
      </c>
      <c r="E156" s="9">
        <v>2.2164306640625</v>
      </c>
      <c r="F156" s="6">
        <v>8.317413330078125</v>
      </c>
      <c r="G156" s="10">
        <v>-88.9892578125</v>
      </c>
      <c r="H156" s="6">
        <v>11.742401123046875</v>
      </c>
      <c r="I156" s="6">
        <v>2.806854248046875</v>
      </c>
      <c r="J156" s="10">
        <v>164.86892700195312</v>
      </c>
      <c r="K156" s="6">
        <v>13.627561569213867</v>
      </c>
    </row>
    <row r="157" ht="14.25" customHeight="1">
      <c r="A157" s="5">
        <v>41863.70726851852</v>
      </c>
      <c r="B157" s="6">
        <v>15.18524169921875</v>
      </c>
      <c r="C157" s="8">
        <v>47958.08984375</v>
      </c>
      <c r="D157" s="6">
        <v>31.27908706665039</v>
      </c>
      <c r="E157" s="9">
        <v>2.29351806640625</v>
      </c>
      <c r="F157" s="6">
        <v>8.30780029296875</v>
      </c>
      <c r="G157" s="10">
        <v>-88.37890625</v>
      </c>
      <c r="H157" s="6">
        <v>11.490631103515625</v>
      </c>
      <c r="I157" s="6">
        <v>2.745819091796875</v>
      </c>
      <c r="J157" s="10">
        <v>164.42413330078125</v>
      </c>
      <c r="K157" s="6">
        <v>13.63561725616455</v>
      </c>
    </row>
    <row r="158" ht="14.25" customHeight="1">
      <c r="A158" s="5">
        <v>41863.707280092596</v>
      </c>
      <c r="B158" s="6">
        <v>15.0067138671875</v>
      </c>
      <c r="C158" s="8">
        <v>48274.8515625</v>
      </c>
      <c r="D158" s="6">
        <v>31.505380630493164</v>
      </c>
      <c r="E158" s="9">
        <v>2.36871337890625</v>
      </c>
      <c r="F158" s="6">
        <v>8.297119140625</v>
      </c>
      <c r="G158" s="10">
        <v>-87.70751953125</v>
      </c>
      <c r="H158" s="6">
        <v>11.910247802734375</v>
      </c>
      <c r="I158" s="6">
        <v>2.845001220703125</v>
      </c>
      <c r="J158" s="10">
        <v>163.63525390625</v>
      </c>
      <c r="K158" s="6">
        <v>13.599916458129883</v>
      </c>
    </row>
    <row r="159" ht="14.25" customHeight="1">
      <c r="A159" s="5">
        <v>41863.707280092596</v>
      </c>
      <c r="B159" s="6">
        <v>14.9169921875</v>
      </c>
      <c r="C159" s="8">
        <v>47987.859375</v>
      </c>
      <c r="D159" s="6">
        <v>31.294879913330078</v>
      </c>
      <c r="E159" s="9">
        <v>2.447021484375</v>
      </c>
      <c r="F159" s="6">
        <v>8.285369873046875</v>
      </c>
      <c r="G159" s="10">
        <v>-86.97509765625</v>
      </c>
      <c r="H159" s="6">
        <v>11.943817138671875</v>
      </c>
      <c r="I159" s="6">
        <v>2.852630615234375</v>
      </c>
      <c r="J159" s="10">
        <v>162.63656616210938</v>
      </c>
      <c r="K159" s="6">
        <v>13.558293342590332</v>
      </c>
    </row>
    <row r="160" ht="14.25" customHeight="1">
      <c r="A160" s="5">
        <v>41863.707291666666</v>
      </c>
      <c r="B160" s="6">
        <v>14.85107421875</v>
      </c>
      <c r="C160" s="8">
        <v>47921.07421875</v>
      </c>
      <c r="D160" s="6">
        <v>31.24489402770996</v>
      </c>
      <c r="E160" s="9">
        <v>2.52630615234375</v>
      </c>
      <c r="F160" s="6">
        <v>8.273406982421875</v>
      </c>
      <c r="G160" s="10">
        <v>-86.3037109375</v>
      </c>
      <c r="H160" s="6">
        <v>11.708831787109375</v>
      </c>
      <c r="I160" s="6">
        <v>2.79541015625</v>
      </c>
      <c r="J160" s="10">
        <v>161.36093139648438</v>
      </c>
      <c r="K160" s="6">
        <v>13.474206924438477</v>
      </c>
    </row>
    <row r="161" ht="14.25" customHeight="1">
      <c r="A161" s="5">
        <v>41863.707291666666</v>
      </c>
      <c r="B161" s="6">
        <v>14.7613525390625</v>
      </c>
      <c r="C161" s="8">
        <v>47933.32421875</v>
      </c>
      <c r="D161" s="6">
        <v>31.25169563293457</v>
      </c>
      <c r="E161" s="9">
        <v>2.6036376953125</v>
      </c>
      <c r="F161" s="6">
        <v>8.26165771484375</v>
      </c>
      <c r="G161" s="10">
        <v>-85.5712890625</v>
      </c>
      <c r="H161" s="6">
        <v>12.380218505859375</v>
      </c>
      <c r="I161" s="6">
        <v>2.959442138671875</v>
      </c>
      <c r="J161" s="10">
        <v>160.16082763671875</v>
      </c>
      <c r="K161" s="6">
        <v>13.397809028625488</v>
      </c>
    </row>
    <row r="162" ht="14.25" customHeight="1">
      <c r="A162" s="5">
        <v>41863.70730324074</v>
      </c>
      <c r="B162" s="6">
        <v>14.3255615234375</v>
      </c>
      <c r="C162" s="8">
        <v>47568.4609375</v>
      </c>
      <c r="D162" s="6">
        <v>30.976293563842773</v>
      </c>
      <c r="E162" s="9">
        <v>2.68511962890625</v>
      </c>
      <c r="F162" s="6">
        <v>8.2509765625</v>
      </c>
      <c r="G162" s="10">
        <v>-84.89990234375</v>
      </c>
      <c r="H162" s="6">
        <v>12.212371826171875</v>
      </c>
      <c r="I162" s="6">
        <v>2.91748046875</v>
      </c>
      <c r="J162" s="10">
        <v>159.6405029296875</v>
      </c>
      <c r="K162" s="6">
        <v>13.494918823242188</v>
      </c>
    </row>
    <row r="163" ht="14.25" customHeight="1">
      <c r="A163" s="5">
        <v>41863.70730324074</v>
      </c>
      <c r="B163" s="6">
        <v>14.0838623046875</v>
      </c>
      <c r="C163" s="8">
        <v>47580.63671875</v>
      </c>
      <c r="D163" s="6">
        <v>30.97857093811035</v>
      </c>
      <c r="E163" s="9">
        <v>3.4056396484375</v>
      </c>
      <c r="F163" s="6">
        <v>8.23858642578125</v>
      </c>
      <c r="G163" s="10">
        <v>-84.1064453125</v>
      </c>
      <c r="H163" s="6">
        <v>12.094879150390625</v>
      </c>
      <c r="I163" s="6">
        <v>2.890777587890625</v>
      </c>
      <c r="J163" s="10">
        <v>158.77609252929688</v>
      </c>
      <c r="K163" s="6">
        <v>13.488134384155273</v>
      </c>
    </row>
    <row r="164" ht="14.25" customHeight="1">
      <c r="A164" s="5">
        <v>41863.70731481481</v>
      </c>
      <c r="B164" s="6">
        <v>13.87237548828125</v>
      </c>
      <c r="C164" s="8">
        <v>47607.6796875</v>
      </c>
      <c r="D164" s="6">
        <v>30.992090225219727</v>
      </c>
      <c r="E164" s="9">
        <v>3.6070556640625</v>
      </c>
      <c r="F164" s="6">
        <v>8.224700927734375</v>
      </c>
      <c r="G164" s="10">
        <v>-83.251953125</v>
      </c>
      <c r="H164" s="6">
        <v>12.245941162109375</v>
      </c>
      <c r="I164" s="6">
        <v>2.92510986328125</v>
      </c>
      <c r="J164" s="10">
        <v>157.8277587890625</v>
      </c>
      <c r="K164" s="6">
        <v>13.464099884033203</v>
      </c>
    </row>
    <row r="165" ht="14.25" customHeight="1">
      <c r="A165" s="5">
        <v>41863.70731481481</v>
      </c>
      <c r="B165" s="6">
        <v>13.6846923828125</v>
      </c>
      <c r="C165" s="8">
        <v>47946.23828125</v>
      </c>
      <c r="D165" s="6">
        <v>31.231611251831055</v>
      </c>
      <c r="E165" s="9">
        <v>3.6529541015625</v>
      </c>
      <c r="F165" s="6">
        <v>8.209747314453125</v>
      </c>
      <c r="G165" s="10">
        <v>-82.33642578125</v>
      </c>
      <c r="H165" s="6">
        <v>12.212371826171875</v>
      </c>
      <c r="I165" s="6">
        <v>2.91748046875</v>
      </c>
      <c r="J165" s="10">
        <v>156.9549560546875</v>
      </c>
      <c r="K165" s="6">
        <v>13.421299934387207</v>
      </c>
    </row>
    <row r="166" ht="14.25" customHeight="1">
      <c r="A166" s="5">
        <v>41863.70732638889</v>
      </c>
      <c r="B166" s="6">
        <v>13.5455322265625</v>
      </c>
      <c r="C166" s="8">
        <v>48113.1171875</v>
      </c>
      <c r="D166" s="6">
        <v>31.348114013671875</v>
      </c>
      <c r="E166" s="9">
        <v>3.6883544921875</v>
      </c>
      <c r="F166" s="6">
        <v>8.194580078125</v>
      </c>
      <c r="G166" s="10">
        <v>-81.48193359375</v>
      </c>
      <c r="H166" s="6">
        <v>12.05291748046875</v>
      </c>
      <c r="I166" s="6">
        <v>2.87933349609375</v>
      </c>
      <c r="J166" s="10">
        <v>155.95626831054688</v>
      </c>
      <c r="K166" s="6">
        <v>13.364480018615723</v>
      </c>
    </row>
    <row r="167" ht="14.25" customHeight="1">
      <c r="A167" s="5">
        <v>41863.70732638889</v>
      </c>
      <c r="B167" s="6">
        <v>13.43841552734375</v>
      </c>
      <c r="C167" s="8">
        <v>48220.65234375</v>
      </c>
      <c r="D167" s="6">
        <v>31.42252540588379</v>
      </c>
      <c r="E167" s="9">
        <v>3.7249755859375</v>
      </c>
      <c r="F167" s="6">
        <v>8.17962646484375</v>
      </c>
      <c r="G167" s="10">
        <v>-80.56640625</v>
      </c>
      <c r="H167" s="6">
        <v>11.85150146484375</v>
      </c>
      <c r="I167" s="6">
        <v>2.829742431640625</v>
      </c>
      <c r="J167" s="10">
        <v>154.95758056640625</v>
      </c>
      <c r="K167" s="6">
        <v>13.301652908325195</v>
      </c>
    </row>
    <row r="168" ht="14.25" customHeight="1">
      <c r="A168" s="5">
        <v>41863.707337962966</v>
      </c>
      <c r="B168" s="6">
        <v>13.360595703125</v>
      </c>
      <c r="C168" s="8">
        <v>48322.859375</v>
      </c>
      <c r="D168" s="6">
        <v>31.493993759155273</v>
      </c>
      <c r="E168" s="9">
        <v>3.7574462890625</v>
      </c>
      <c r="F168" s="6">
        <v>8.165313720703125</v>
      </c>
      <c r="G168" s="10">
        <v>-79.7119140625</v>
      </c>
      <c r="H168" s="6">
        <v>12.22076416015625</v>
      </c>
      <c r="I168" s="6">
        <v>2.921295166015625</v>
      </c>
      <c r="J168" s="10">
        <v>153.88336181640625</v>
      </c>
      <c r="K168" s="6">
        <v>13.224813461303711</v>
      </c>
    </row>
    <row r="169" ht="14.25" customHeight="1">
      <c r="A169" s="5">
        <v>41863.707337962966</v>
      </c>
      <c r="B169" s="6">
        <v>13.33404541015625</v>
      </c>
      <c r="C169" s="8">
        <v>48355.6484375</v>
      </c>
      <c r="D169" s="6">
        <v>31.51685905456543</v>
      </c>
      <c r="E169" s="9">
        <v>3.7901611328125</v>
      </c>
      <c r="F169" s="6">
        <v>8.151641845703125</v>
      </c>
      <c r="G169" s="10">
        <v>-78.91845703125</v>
      </c>
      <c r="H169" s="6">
        <v>12.531280517578125</v>
      </c>
      <c r="I169" s="6">
        <v>2.9937744140625</v>
      </c>
      <c r="J169" s="10">
        <v>152.71682739257812</v>
      </c>
      <c r="K169" s="6">
        <v>13.130165100097656</v>
      </c>
    </row>
    <row r="170" ht="14.25" customHeight="1">
      <c r="A170" s="5">
        <v>41863.707349537035</v>
      </c>
      <c r="B170" s="6">
        <v>13.3111572265625</v>
      </c>
      <c r="C170" s="8">
        <v>48397.953125</v>
      </c>
      <c r="D170" s="6">
        <v>31.546743392944336</v>
      </c>
      <c r="E170" s="9">
        <v>3.81939697265625</v>
      </c>
      <c r="F170" s="6">
        <v>8.13861083984375</v>
      </c>
      <c r="G170" s="10">
        <v>-78.18603515625</v>
      </c>
      <c r="H170" s="6">
        <v>12.3046875</v>
      </c>
      <c r="I170" s="6">
        <v>2.94036865234375</v>
      </c>
      <c r="J170" s="10">
        <v>151.69296264648438</v>
      </c>
      <c r="K170" s="6">
        <v>13.045869827270508</v>
      </c>
    </row>
    <row r="171" ht="14.25" customHeight="1">
      <c r="A171" s="5">
        <v>41863.707349537035</v>
      </c>
      <c r="B171" s="6">
        <v>13.29376220703125</v>
      </c>
      <c r="C171" s="8">
        <v>48424.94921875</v>
      </c>
      <c r="D171" s="6">
        <v>31.565719604492188</v>
      </c>
      <c r="E171" s="9">
        <v>3.843994140625</v>
      </c>
      <c r="F171" s="6">
        <v>8.12664794921875</v>
      </c>
      <c r="G171" s="10">
        <v>-77.5146484375</v>
      </c>
      <c r="H171" s="6">
        <v>12.497711181640625</v>
      </c>
      <c r="I171" s="6">
        <v>2.98614501953125</v>
      </c>
      <c r="J171" s="10">
        <v>150.76141357421875</v>
      </c>
      <c r="K171" s="6">
        <v>12.968921661376953</v>
      </c>
    </row>
    <row r="172" ht="14.25" customHeight="1">
      <c r="A172" s="5">
        <v>41863.70736111111</v>
      </c>
      <c r="B172" s="6">
        <v>13.280029296875</v>
      </c>
      <c r="C172" s="8">
        <v>48440.05859375</v>
      </c>
      <c r="D172" s="6">
        <v>31.57619857788086</v>
      </c>
      <c r="E172" s="9">
        <v>3.8626708984375</v>
      </c>
      <c r="F172" s="6">
        <v>8.115325927734375</v>
      </c>
      <c r="G172" s="10">
        <v>-76.84326171875</v>
      </c>
      <c r="H172" s="6">
        <v>12.70751953125</v>
      </c>
      <c r="I172" s="6">
        <v>3.035736083984375</v>
      </c>
      <c r="J172" s="10">
        <v>149.7711181640625</v>
      </c>
      <c r="K172" s="6">
        <v>12.886688232421875</v>
      </c>
    </row>
    <row r="173" ht="14.25" customHeight="1">
      <c r="A173" s="5">
        <v>41863.70736111111</v>
      </c>
      <c r="B173" s="6">
        <v>13.27178955078125</v>
      </c>
      <c r="C173" s="8">
        <v>48448.625</v>
      </c>
      <c r="D173" s="6">
        <v>31.582124710083008</v>
      </c>
      <c r="E173" s="9">
        <v>3.87933349609375</v>
      </c>
      <c r="F173" s="6">
        <v>8.104644775390625</v>
      </c>
      <c r="G173" s="10">
        <v>-76.23291015625</v>
      </c>
      <c r="H173" s="6">
        <v>12.514495849609375</v>
      </c>
      <c r="I173" s="6">
        <v>2.989959716796875</v>
      </c>
      <c r="J173" s="10">
        <v>148.82278442382812</v>
      </c>
      <c r="K173" s="6">
        <v>12.806596755981445</v>
      </c>
    </row>
    <row r="174" ht="14.25" customHeight="1">
      <c r="A174" s="5">
        <v>41863.70737268519</v>
      </c>
      <c r="B174" s="6">
        <v>13.26629638671875</v>
      </c>
      <c r="C174" s="8">
        <v>48451.3984375</v>
      </c>
      <c r="D174" s="6">
        <v>31.583942413330078</v>
      </c>
      <c r="E174" s="9">
        <v>3.893798828125</v>
      </c>
      <c r="F174" s="6">
        <v>8.0946044921875</v>
      </c>
      <c r="G174" s="10">
        <v>-75.68359375</v>
      </c>
      <c r="H174" s="6">
        <v>12.111663818359375</v>
      </c>
      <c r="I174" s="6">
        <v>2.89459228515625</v>
      </c>
      <c r="J174" s="10">
        <v>147.81570434570312</v>
      </c>
      <c r="K174" s="6">
        <v>12.721386909484863</v>
      </c>
    </row>
    <row r="175" ht="14.25" customHeight="1">
      <c r="A175" s="5">
        <v>41863.70737268519</v>
      </c>
      <c r="B175" s="6">
        <v>13.26263427734375</v>
      </c>
      <c r="C175" s="8">
        <v>48451.9921875</v>
      </c>
      <c r="D175" s="6">
        <v>31.584239959716797</v>
      </c>
      <c r="E175" s="9">
        <v>3.90631103515625</v>
      </c>
      <c r="F175" s="6">
        <v>8.084991455078125</v>
      </c>
      <c r="G175" s="10">
        <v>-75.13427734375</v>
      </c>
      <c r="H175" s="6">
        <v>12.2039794921875</v>
      </c>
      <c r="I175" s="6">
        <v>2.91748046875</v>
      </c>
      <c r="J175" s="10">
        <v>146.83380126953125</v>
      </c>
      <c r="K175" s="6">
        <v>12.637476921081543</v>
      </c>
    </row>
    <row r="176" ht="14.25" customHeight="1">
      <c r="A176" s="5">
        <v>41863.83783564815</v>
      </c>
      <c r="B176" s="6">
        <v>17.8631591796875</v>
      </c>
      <c r="C176" s="8">
        <v>48157.26953125</v>
      </c>
      <c r="D176" s="6">
        <v>31.45830726623535</v>
      </c>
      <c r="E176" s="9">
        <v>-0.06493949890136719</v>
      </c>
      <c r="F176" s="6">
        <v>8.256744384765625</v>
      </c>
      <c r="G176" s="10">
        <v>-86.12060546875</v>
      </c>
      <c r="H176" s="6">
        <v>6.522369384765625</v>
      </c>
      <c r="I176" s="6">
        <v>1.5594482421875</v>
      </c>
      <c r="J176" s="10">
        <v>78.84750366210938</v>
      </c>
      <c r="K176" s="6">
        <v>6.19897985458374</v>
      </c>
    </row>
    <row r="177" ht="14.25" customHeight="1">
      <c r="A177" s="5">
        <v>41863.837847222225</v>
      </c>
      <c r="B177" s="6">
        <v>17.86041259765625</v>
      </c>
      <c r="C177" s="8">
        <v>48180.546875</v>
      </c>
      <c r="D177" s="6">
        <v>31.475252151489258</v>
      </c>
      <c r="E177" s="9">
        <v>-0.044097900390625</v>
      </c>
      <c r="F177" s="6">
        <v>8.262298583984375</v>
      </c>
      <c r="G177" s="10">
        <v>-86.42578125</v>
      </c>
      <c r="H177" s="6">
        <v>6.522369384765625</v>
      </c>
      <c r="I177" s="6">
        <v>1.5594482421875</v>
      </c>
      <c r="J177" s="10">
        <v>78.84750366210938</v>
      </c>
      <c r="K177" s="6">
        <v>6.198769569396973</v>
      </c>
    </row>
    <row r="178" ht="14.25" customHeight="1">
      <c r="A178" s="5">
        <v>41863.837847222225</v>
      </c>
      <c r="B178" s="6">
        <v>17.861328125</v>
      </c>
      <c r="C178" s="8">
        <v>48199.92578125</v>
      </c>
      <c r="D178" s="6">
        <v>31.489383697509766</v>
      </c>
      <c r="E178" s="9">
        <v>-0.010870218276977539</v>
      </c>
      <c r="F178" s="6">
        <v>8.268280029296875</v>
      </c>
      <c r="G178" s="10">
        <v>-86.73095703125</v>
      </c>
      <c r="H178" s="6">
        <v>6.522369384765625</v>
      </c>
      <c r="I178" s="6">
        <v>1.5594482421875</v>
      </c>
      <c r="J178" s="10">
        <v>78.84750366210938</v>
      </c>
      <c r="K178" s="6">
        <v>6.197930335998535</v>
      </c>
    </row>
    <row r="179" ht="14.25" customHeight="1">
      <c r="A179" s="5">
        <v>41863.837858796294</v>
      </c>
      <c r="B179" s="6">
        <v>17.864990234375</v>
      </c>
      <c r="C179" s="8">
        <v>48212.98046875</v>
      </c>
      <c r="D179" s="6">
        <v>31.498912811279297</v>
      </c>
      <c r="E179" s="9">
        <v>0.020386695861816406</v>
      </c>
      <c r="F179" s="6">
        <v>8.274261474609375</v>
      </c>
      <c r="G179" s="10">
        <v>-87.09716796875</v>
      </c>
      <c r="H179" s="6">
        <v>6.522369384765625</v>
      </c>
      <c r="I179" s="6">
        <v>1.5594482421875</v>
      </c>
      <c r="J179" s="10">
        <v>78.84750366210938</v>
      </c>
      <c r="K179" s="6">
        <v>6.197031497955322</v>
      </c>
    </row>
    <row r="180" ht="14.25" customHeight="1">
      <c r="A180" s="5">
        <v>41863.837858796294</v>
      </c>
      <c r="B180" s="6">
        <v>17.8704833984375</v>
      </c>
      <c r="C180" s="8">
        <v>48224.08203125</v>
      </c>
      <c r="D180" s="6">
        <v>31.50703239440918</v>
      </c>
      <c r="E180" s="9">
        <v>0.06601524353027344</v>
      </c>
      <c r="F180" s="6">
        <v>8.279815673828125</v>
      </c>
      <c r="G180" s="10">
        <v>-87.46337890625</v>
      </c>
      <c r="H180" s="6">
        <v>6.522369384765625</v>
      </c>
      <c r="I180" s="6">
        <v>1.5594482421875</v>
      </c>
      <c r="J180" s="10">
        <v>78.839111328125</v>
      </c>
      <c r="K180" s="6">
        <v>6.195670127868652</v>
      </c>
    </row>
    <row r="181" ht="14.25" customHeight="1">
      <c r="A181" s="5">
        <v>41863.83787037037</v>
      </c>
      <c r="B181" s="6">
        <v>17.8759765625</v>
      </c>
      <c r="C181" s="8">
        <v>48230.66015625</v>
      </c>
      <c r="D181" s="6">
        <v>31.51186180114746</v>
      </c>
      <c r="E181" s="9">
        <v>0.12368202209472656</v>
      </c>
      <c r="F181" s="6">
        <v>8.287078857421875</v>
      </c>
      <c r="G181" s="10">
        <v>-87.82958984375</v>
      </c>
      <c r="H181" s="6">
        <v>6.522369384765625</v>
      </c>
      <c r="I181" s="6">
        <v>1.5594482421875</v>
      </c>
      <c r="J181" s="10">
        <v>78.83071899414062</v>
      </c>
      <c r="K181" s="6">
        <v>6.193990230560303</v>
      </c>
    </row>
    <row r="182" ht="14.25" customHeight="1">
      <c r="A182" s="5">
        <v>41863.83787037037</v>
      </c>
      <c r="B182" s="6">
        <v>17.8814697265625</v>
      </c>
      <c r="C182" s="8">
        <v>48232.71484375</v>
      </c>
      <c r="D182" s="6">
        <v>31.513385772705078</v>
      </c>
      <c r="E182" s="9">
        <v>0.17612075805664062</v>
      </c>
      <c r="F182" s="6">
        <v>8.2928466796875</v>
      </c>
      <c r="G182" s="10">
        <v>-88.19580078125</v>
      </c>
      <c r="H182" s="6">
        <v>6.522369384765625</v>
      </c>
      <c r="I182" s="6">
        <v>1.5594482421875</v>
      </c>
      <c r="J182" s="10">
        <v>78.83071899414062</v>
      </c>
      <c r="K182" s="6">
        <v>6.193448543548584</v>
      </c>
    </row>
    <row r="183" ht="14.25" customHeight="1">
      <c r="A183" s="5">
        <v>41863.83788194445</v>
      </c>
      <c r="B183" s="6">
        <v>17.88421630859375</v>
      </c>
      <c r="C183" s="8">
        <v>48230.91796875</v>
      </c>
      <c r="D183" s="6">
        <v>31.51209831237793</v>
      </c>
      <c r="E183" s="9">
        <v>0.23446273803710938</v>
      </c>
      <c r="F183" s="6">
        <v>8.298187255859375</v>
      </c>
      <c r="G183" s="10">
        <v>-88.5009765625</v>
      </c>
      <c r="H183" s="6">
        <v>6.522369384765625</v>
      </c>
      <c r="I183" s="6">
        <v>1.5594482421875</v>
      </c>
      <c r="J183" s="10">
        <v>78.82232666015625</v>
      </c>
      <c r="K183" s="6">
        <v>6.192500114440918</v>
      </c>
    </row>
    <row r="184" ht="14.25" customHeight="1">
      <c r="A184" s="5">
        <v>41863.83788194445</v>
      </c>
      <c r="B184" s="6">
        <v>17.88421630859375</v>
      </c>
      <c r="C184" s="8">
        <v>48224.13671875</v>
      </c>
      <c r="D184" s="6">
        <v>31.507150650024414</v>
      </c>
      <c r="E184" s="9">
        <v>0.2985687255859375</v>
      </c>
      <c r="F184" s="6">
        <v>8.303314208984375</v>
      </c>
      <c r="G184" s="10">
        <v>-88.80615234375</v>
      </c>
      <c r="H184" s="6">
        <v>6.522369384765625</v>
      </c>
      <c r="I184" s="6">
        <v>1.5594482421875</v>
      </c>
      <c r="J184" s="10">
        <v>78.82232666015625</v>
      </c>
      <c r="K184" s="6">
        <v>6.192683696746826</v>
      </c>
    </row>
    <row r="185" ht="14.25" customHeight="1">
      <c r="A185" s="5">
        <v>41863.83789351852</v>
      </c>
      <c r="B185" s="6">
        <v>17.8814697265625</v>
      </c>
      <c r="C185" s="8">
        <v>48220.28515625</v>
      </c>
      <c r="D185" s="6">
        <v>31.50432586669922</v>
      </c>
      <c r="E185" s="9">
        <v>0.36046600341796875</v>
      </c>
      <c r="F185" s="6">
        <v>8.30780029296875</v>
      </c>
      <c r="G185" s="10">
        <v>-89.05029296875</v>
      </c>
      <c r="H185" s="6">
        <v>6.522369384765625</v>
      </c>
      <c r="I185" s="6">
        <v>1.5594482421875</v>
      </c>
      <c r="J185" s="10">
        <v>78.83071899414062</v>
      </c>
      <c r="K185" s="6">
        <v>6.193784713745117</v>
      </c>
    </row>
    <row r="186" ht="14.25" customHeight="1">
      <c r="A186" s="5">
        <v>41863.83789351852</v>
      </c>
      <c r="B186" s="6">
        <v>17.87322998046875</v>
      </c>
      <c r="C186" s="8">
        <v>48189.50390625</v>
      </c>
      <c r="D186" s="6">
        <v>31.481849670410156</v>
      </c>
      <c r="E186" s="9">
        <v>0.4253997802734375</v>
      </c>
      <c r="F186" s="6">
        <v>8.310577392578125</v>
      </c>
      <c r="G186" s="10">
        <v>-89.2333984375</v>
      </c>
      <c r="H186" s="6">
        <v>6.522369384765625</v>
      </c>
      <c r="I186" s="6">
        <v>1.5594482421875</v>
      </c>
      <c r="J186" s="10">
        <v>78.83071899414062</v>
      </c>
      <c r="K186" s="6">
        <v>6.195525169372559</v>
      </c>
    </row>
    <row r="187" ht="14.25" customHeight="1">
      <c r="A187" s="5">
        <v>41863.837905092594</v>
      </c>
      <c r="B187" s="6">
        <v>17.8411865234375</v>
      </c>
      <c r="C187" s="8">
        <v>46191.9609375</v>
      </c>
      <c r="D187" s="6">
        <v>30.030864715576172</v>
      </c>
      <c r="E187" s="9">
        <v>0.4991607666015625</v>
      </c>
      <c r="F187" s="6">
        <v>8.3099365234375</v>
      </c>
      <c r="G187" s="10">
        <v>-89.17236328125</v>
      </c>
      <c r="H187" s="6">
        <v>6.522369384765625</v>
      </c>
      <c r="I187" s="6">
        <v>1.5594482421875</v>
      </c>
      <c r="J187" s="10">
        <v>78.8726806640625</v>
      </c>
      <c r="K187" s="6">
        <v>6.256783485412598</v>
      </c>
    </row>
    <row r="188" ht="14.25" customHeight="1">
      <c r="A188" s="5">
        <v>41863.837905092594</v>
      </c>
      <c r="B188" s="6">
        <v>17.75238037109375</v>
      </c>
      <c r="C188" s="8">
        <v>46500.52734375</v>
      </c>
      <c r="D188" s="6">
        <v>30.253904342651367</v>
      </c>
      <c r="E188" s="9">
        <v>0.56805419921875</v>
      </c>
      <c r="F188" s="6">
        <v>8.307373046875</v>
      </c>
      <c r="G188" s="10">
        <v>-88.9892578125</v>
      </c>
      <c r="H188" s="6">
        <v>6.522369384765625</v>
      </c>
      <c r="I188" s="6">
        <v>1.5594482421875</v>
      </c>
      <c r="J188" s="10">
        <v>78.96499633789062</v>
      </c>
      <c r="K188" s="6">
        <v>6.266478538513184</v>
      </c>
    </row>
    <row r="189" ht="14.25" customHeight="1">
      <c r="A189" s="5">
        <v>41863.837916666664</v>
      </c>
      <c r="B189" s="6">
        <v>16.6748046875</v>
      </c>
      <c r="C189" s="8">
        <v>47684.98828125</v>
      </c>
      <c r="D189" s="6">
        <v>31.104610443115234</v>
      </c>
      <c r="E189" s="9">
        <v>0.63214111328125</v>
      </c>
      <c r="F189" s="6">
        <v>8.3056640625</v>
      </c>
      <c r="G189" s="10">
        <v>-88.623046875</v>
      </c>
      <c r="H189" s="6">
        <v>6.522369384765625</v>
      </c>
      <c r="I189" s="6">
        <v>1.5594482421875</v>
      </c>
      <c r="J189" s="10">
        <v>80.08956909179688</v>
      </c>
      <c r="K189" s="6">
        <v>6.45641565322876</v>
      </c>
    </row>
    <row r="190" ht="14.25" customHeight="1">
      <c r="A190" s="5">
        <v>41863.837916666664</v>
      </c>
      <c r="B190" s="6">
        <v>16.22161865234375</v>
      </c>
      <c r="C190" s="8">
        <v>46286.0390625</v>
      </c>
      <c r="D190" s="6">
        <v>30.084901809692383</v>
      </c>
      <c r="E190" s="9">
        <v>0.702301025390625</v>
      </c>
      <c r="F190" s="6">
        <v>8.29754638671875</v>
      </c>
      <c r="G190" s="10">
        <v>-88.0126953125</v>
      </c>
      <c r="H190" s="6">
        <v>6.522369384765625</v>
      </c>
      <c r="I190" s="6">
        <v>1.5594482421875</v>
      </c>
      <c r="J190" s="10">
        <v>80.57632446289062</v>
      </c>
      <c r="K190" s="6">
        <v>6.594034671783447</v>
      </c>
    </row>
    <row r="191" ht="14.25" customHeight="1">
      <c r="A191" s="5">
        <v>41863.83792824074</v>
      </c>
      <c r="B191" s="6">
        <v>15.61553955078125</v>
      </c>
      <c r="C191" s="8">
        <v>46627.12890625</v>
      </c>
      <c r="D191" s="6">
        <v>30.322500228881836</v>
      </c>
      <c r="E191" s="9">
        <v>0.7728118896484375</v>
      </c>
      <c r="F191" s="6">
        <v>8.287506103515625</v>
      </c>
      <c r="G191" s="10">
        <v>-87.2802734375</v>
      </c>
      <c r="H191" s="6">
        <v>6.522369384765625</v>
      </c>
      <c r="I191" s="6">
        <v>1.5594482421875</v>
      </c>
      <c r="J191" s="10">
        <v>81.2225341796875</v>
      </c>
      <c r="K191" s="6">
        <v>6.717409133911133</v>
      </c>
    </row>
    <row r="192" ht="14.25" customHeight="1">
      <c r="A192" s="5">
        <v>41863.83792824074</v>
      </c>
      <c r="B192" s="6">
        <v>15.06988525390625</v>
      </c>
      <c r="C192" s="8">
        <v>47522.0703125</v>
      </c>
      <c r="D192" s="6">
        <v>30.960277557373047</v>
      </c>
      <c r="E192" s="9">
        <v>0.8365325927734375</v>
      </c>
      <c r="F192" s="6">
        <v>8.27618408203125</v>
      </c>
      <c r="G192" s="10">
        <v>-86.48681640625</v>
      </c>
      <c r="H192" s="6">
        <v>6.522369384765625</v>
      </c>
      <c r="I192" s="6">
        <v>1.5594482421875</v>
      </c>
      <c r="J192" s="10">
        <v>81.80999755859375</v>
      </c>
      <c r="K192" s="6">
        <v>6.813525199890137</v>
      </c>
    </row>
    <row r="193" ht="14.25" customHeight="1">
      <c r="A193" s="5">
        <v>41863.83793981482</v>
      </c>
      <c r="B193" s="6">
        <v>14.67529296875</v>
      </c>
      <c r="C193" s="8">
        <v>47964.5625</v>
      </c>
      <c r="D193" s="6">
        <v>31.27231216430664</v>
      </c>
      <c r="E193" s="9">
        <v>0.8937225341796875</v>
      </c>
      <c r="F193" s="6">
        <v>8.26336669921875</v>
      </c>
      <c r="G193" s="10">
        <v>-85.693359375</v>
      </c>
      <c r="H193" s="6">
        <v>6.522369384765625</v>
      </c>
      <c r="I193" s="6">
        <v>1.5594482421875</v>
      </c>
      <c r="J193" s="10">
        <v>82.23800659179688</v>
      </c>
      <c r="K193" s="6">
        <v>6.890464782714844</v>
      </c>
    </row>
    <row r="194" ht="14.25" customHeight="1">
      <c r="A194" s="5">
        <v>41863.83793981482</v>
      </c>
      <c r="B194" s="6">
        <v>14.38873291015625</v>
      </c>
      <c r="C194" s="8">
        <v>47821.046875</v>
      </c>
      <c r="D194" s="6">
        <v>31.1610050201416</v>
      </c>
      <c r="E194" s="9">
        <v>0.9481353759765625</v>
      </c>
      <c r="F194" s="6">
        <v>8.249481201171875</v>
      </c>
      <c r="G194" s="10">
        <v>-84.8388671875</v>
      </c>
      <c r="H194" s="6">
        <v>6.522369384765625</v>
      </c>
      <c r="I194" s="6">
        <v>1.5594482421875</v>
      </c>
      <c r="J194" s="10">
        <v>82.54852294921875</v>
      </c>
      <c r="K194" s="6">
        <v>6.961381435394287</v>
      </c>
    </row>
    <row r="195" ht="14.25" customHeight="1">
      <c r="A195" s="5">
        <v>41863.83795138889</v>
      </c>
      <c r="B195" s="6">
        <v>14.13238525390625</v>
      </c>
      <c r="C195" s="8">
        <v>47831.84375</v>
      </c>
      <c r="D195" s="6">
        <v>31.161924362182617</v>
      </c>
      <c r="E195" s="9">
        <v>0.998931884765625</v>
      </c>
      <c r="F195" s="6">
        <v>8.23516845703125</v>
      </c>
      <c r="G195" s="10">
        <v>-83.92333984375</v>
      </c>
      <c r="H195" s="6">
        <v>6.522369384765625</v>
      </c>
      <c r="I195" s="6">
        <v>1.5594482421875</v>
      </c>
      <c r="J195" s="10">
        <v>82.82546997070312</v>
      </c>
      <c r="K195" s="6">
        <v>7.020890712738037</v>
      </c>
    </row>
    <row r="196" ht="14.25" customHeight="1">
      <c r="A196" s="5">
        <v>41863.83795138889</v>
      </c>
      <c r="B196" s="6">
        <v>13.902587890625</v>
      </c>
      <c r="C196" s="8">
        <v>47833.0625</v>
      </c>
      <c r="D196" s="6">
        <v>31.15621566772461</v>
      </c>
      <c r="E196" s="9">
        <v>1.053497314453125</v>
      </c>
      <c r="F196" s="6">
        <v>8.221282958984375</v>
      </c>
      <c r="G196" s="10">
        <v>-83.06884765625</v>
      </c>
      <c r="H196" s="6">
        <v>6.522369384765625</v>
      </c>
      <c r="I196" s="6">
        <v>1.5594482421875</v>
      </c>
      <c r="J196" s="10">
        <v>83.07723999023438</v>
      </c>
      <c r="K196" s="6">
        <v>7.07584810256958</v>
      </c>
    </row>
    <row r="197" ht="14.25" customHeight="1">
      <c r="A197" s="5">
        <v>41863.83796296296</v>
      </c>
      <c r="B197" s="6">
        <v>13.70025634765625</v>
      </c>
      <c r="C197" s="8">
        <v>47931.80078125</v>
      </c>
      <c r="D197" s="6">
        <v>31.22163200378418</v>
      </c>
      <c r="E197" s="9">
        <v>1.119598388671875</v>
      </c>
      <c r="F197" s="6">
        <v>8.206756591796875</v>
      </c>
      <c r="G197" s="10">
        <v>-82.21435546875</v>
      </c>
      <c r="H197" s="6">
        <v>6.522369384765625</v>
      </c>
      <c r="I197" s="6">
        <v>1.5594482421875</v>
      </c>
      <c r="J197" s="10">
        <v>83.29544067382812</v>
      </c>
      <c r="K197" s="6">
        <v>7.120739936828613</v>
      </c>
    </row>
    <row r="198" ht="14.25" customHeight="1">
      <c r="A198" s="5">
        <v>41863.83796296296</v>
      </c>
      <c r="B198" s="6">
        <v>13.51898193359375</v>
      </c>
      <c r="C198" s="8">
        <v>48088.08203125</v>
      </c>
      <c r="D198" s="6">
        <v>31.329097747802734</v>
      </c>
      <c r="E198" s="9">
        <v>1.19195556640625</v>
      </c>
      <c r="F198" s="6">
        <v>8.190948486328125</v>
      </c>
      <c r="G198" s="10">
        <v>-81.23779296875</v>
      </c>
      <c r="H198" s="6">
        <v>6.522369384765625</v>
      </c>
      <c r="I198" s="6">
        <v>1.5594482421875</v>
      </c>
      <c r="J198" s="10">
        <v>83.49685668945312</v>
      </c>
      <c r="K198" s="6">
        <v>7.1598663330078125</v>
      </c>
    </row>
    <row r="199" ht="14.25" customHeight="1">
      <c r="A199" s="5">
        <v>41863.83797453704</v>
      </c>
      <c r="B199" s="6">
        <v>13.3660888671875</v>
      </c>
      <c r="C199" s="8">
        <v>48289.97265625</v>
      </c>
      <c r="D199" s="6">
        <v>31.470338821411133</v>
      </c>
      <c r="E199" s="9">
        <v>1.255279541015625</v>
      </c>
      <c r="F199" s="6">
        <v>8.174713134765625</v>
      </c>
      <c r="G199" s="10">
        <v>-80.26123046875</v>
      </c>
      <c r="H199" s="6">
        <v>6.522369384765625</v>
      </c>
      <c r="I199" s="6">
        <v>1.5594482421875</v>
      </c>
      <c r="J199" s="10">
        <v>83.66470336914062</v>
      </c>
      <c r="K199" s="6">
        <v>7.190654277801514</v>
      </c>
    </row>
    <row r="200" ht="14.25" customHeight="1">
      <c r="A200" s="5">
        <v>41863.83798611111</v>
      </c>
      <c r="B200" s="6">
        <v>13.155517578125</v>
      </c>
      <c r="C200" s="8">
        <v>48505.640625</v>
      </c>
      <c r="D200" s="6">
        <v>31.61934471130371</v>
      </c>
      <c r="E200" s="9">
        <v>1.374420166015625</v>
      </c>
      <c r="F200" s="6">
        <v>8.142669677734375</v>
      </c>
      <c r="G200" s="10">
        <v>-78.369140625</v>
      </c>
      <c r="H200" s="6">
        <v>6.522369384765625</v>
      </c>
      <c r="I200" s="6">
        <v>1.5594482421875</v>
      </c>
      <c r="J200" s="10">
        <v>83.89968872070312</v>
      </c>
      <c r="K200" s="6">
        <v>7.235302925109863</v>
      </c>
    </row>
    <row r="201" ht="14.25" customHeight="1">
      <c r="A201" s="5">
        <v>41863.83798611111</v>
      </c>
      <c r="B201" s="6">
        <v>13.0859375</v>
      </c>
      <c r="C201" s="8">
        <v>48568.8671875</v>
      </c>
      <c r="D201" s="6">
        <v>31.662675857543945</v>
      </c>
      <c r="E201" s="9">
        <v>1.439788818359375</v>
      </c>
      <c r="F201" s="6">
        <v>8.1270751953125</v>
      </c>
      <c r="G201" s="10">
        <v>-77.5146484375</v>
      </c>
      <c r="H201" s="6">
        <v>6.522369384765625</v>
      </c>
      <c r="I201" s="6">
        <v>1.5594482421875</v>
      </c>
      <c r="J201" s="10">
        <v>83.9752197265625</v>
      </c>
      <c r="K201" s="6">
        <v>7.250337600708008</v>
      </c>
    </row>
    <row r="202" ht="14.25" customHeight="1">
      <c r="A202" s="5">
        <v>41863.83799768519</v>
      </c>
      <c r="B202" s="6">
        <v>13.06121826171875</v>
      </c>
      <c r="C202" s="8">
        <v>48584.65625</v>
      </c>
      <c r="D202" s="6">
        <v>31.673213958740234</v>
      </c>
      <c r="E202" s="9">
        <v>1.508056640625</v>
      </c>
      <c r="F202" s="6">
        <v>8.1116943359375</v>
      </c>
      <c r="G202" s="10">
        <v>-76.59912109375</v>
      </c>
      <c r="H202" s="6">
        <v>6.522369384765625</v>
      </c>
      <c r="I202" s="6">
        <v>1.5594482421875</v>
      </c>
      <c r="J202" s="10">
        <v>84.0087890625</v>
      </c>
      <c r="K202" s="6">
        <v>7.256399631500244</v>
      </c>
    </row>
    <row r="203" ht="14.25" customHeight="1">
      <c r="A203" s="5">
        <v>41863.83799768519</v>
      </c>
      <c r="B203" s="6">
        <v>13.0419921875</v>
      </c>
      <c r="C203" s="8">
        <v>48602.71484375</v>
      </c>
      <c r="D203" s="6">
        <v>31.68560791015625</v>
      </c>
      <c r="E203" s="9">
        <v>1.574615478515625</v>
      </c>
      <c r="F203" s="6">
        <v>8.096954345703125</v>
      </c>
      <c r="G203" s="10">
        <v>-75.74462890625</v>
      </c>
      <c r="H203" s="6">
        <v>6.522369384765625</v>
      </c>
      <c r="I203" s="6">
        <v>1.5594482421875</v>
      </c>
      <c r="J203" s="10">
        <v>84.02557373046875</v>
      </c>
      <c r="K203" s="6">
        <v>7.260464668273926</v>
      </c>
    </row>
    <row r="204" ht="14.25" customHeight="1">
      <c r="A204" s="5">
        <v>41863.838009259256</v>
      </c>
      <c r="B204" s="6">
        <v>13.02642822265625</v>
      </c>
      <c r="C204" s="8">
        <v>48617.6484375</v>
      </c>
      <c r="D204" s="6">
        <v>31.695863723754883</v>
      </c>
      <c r="E204" s="9">
        <v>1.64208984375</v>
      </c>
      <c r="F204" s="6">
        <v>8.082855224609375</v>
      </c>
      <c r="G204" s="10">
        <v>-74.951171875</v>
      </c>
      <c r="H204" s="6">
        <v>6.522369384765625</v>
      </c>
      <c r="I204" s="6">
        <v>1.5594482421875</v>
      </c>
      <c r="J204" s="10">
        <v>84.0423583984375</v>
      </c>
      <c r="K204" s="6">
        <v>7.263690948486328</v>
      </c>
    </row>
    <row r="205" ht="14.25" customHeight="1">
      <c r="A205" s="5">
        <v>41863.838009259256</v>
      </c>
      <c r="B205" s="6">
        <v>13.0145263671875</v>
      </c>
      <c r="C205" s="8">
        <v>48621.8515625</v>
      </c>
      <c r="D205" s="6">
        <v>31.698469161987305</v>
      </c>
      <c r="E205" s="9">
        <v>1.718994140625</v>
      </c>
      <c r="F205" s="6">
        <v>8.06939697265625</v>
      </c>
      <c r="G205" s="10">
        <v>-74.15771484375</v>
      </c>
      <c r="H205" s="6">
        <v>6.522369384765625</v>
      </c>
      <c r="I205" s="6">
        <v>1.5594482421875</v>
      </c>
      <c r="J205" s="10">
        <v>84.05914306640625</v>
      </c>
      <c r="K205" s="6">
        <v>7.266727924346924</v>
      </c>
    </row>
    <row r="206" ht="14.25" customHeight="1">
      <c r="A206" s="5">
        <v>41863.83802083333</v>
      </c>
      <c r="B206" s="6">
        <v>13.0035400390625</v>
      </c>
      <c r="C206" s="8">
        <v>48614.81640625</v>
      </c>
      <c r="D206" s="6">
        <v>31.692951202392578</v>
      </c>
      <c r="E206" s="9">
        <v>2.41180419921875</v>
      </c>
      <c r="F206" s="6">
        <v>8.056365966796875</v>
      </c>
      <c r="G206" s="10">
        <v>-73.42529296875</v>
      </c>
      <c r="H206" s="6">
        <v>6.522369384765625</v>
      </c>
      <c r="I206" s="6">
        <v>1.5594482421875</v>
      </c>
      <c r="J206" s="10">
        <v>84.06753540039062</v>
      </c>
      <c r="K206" s="6">
        <v>7.269364833831787</v>
      </c>
    </row>
    <row r="207" ht="14.25" customHeight="1">
      <c r="A207" s="5">
        <v>41863.83802083333</v>
      </c>
      <c r="B207" s="6">
        <v>12.99163818359375</v>
      </c>
      <c r="C207" s="8">
        <v>48620.28515625</v>
      </c>
      <c r="D207" s="6">
        <v>31.69647789001465</v>
      </c>
      <c r="E207" s="9">
        <v>2.4786376953125</v>
      </c>
      <c r="F207" s="6">
        <v>8.042694091796875</v>
      </c>
      <c r="G207" s="10">
        <v>-72.6318359375</v>
      </c>
      <c r="H207" s="6">
        <v>6.522369384765625</v>
      </c>
      <c r="I207" s="6">
        <v>1.5594482421875</v>
      </c>
      <c r="J207" s="10">
        <v>84.08432006835938</v>
      </c>
      <c r="K207" s="6">
        <v>7.272552490234375</v>
      </c>
    </row>
    <row r="208" ht="14.25" customHeight="1">
      <c r="A208" s="5">
        <v>41863.83803240741</v>
      </c>
      <c r="B208" s="6">
        <v>12.979736328125</v>
      </c>
      <c r="C208" s="8">
        <v>48621.95703125</v>
      </c>
      <c r="D208" s="6">
        <v>31.69724464416504</v>
      </c>
      <c r="E208" s="9">
        <v>2.5357666015625</v>
      </c>
      <c r="F208" s="6">
        <v>8.030731201171875</v>
      </c>
      <c r="G208" s="10">
        <v>-71.96044921875</v>
      </c>
      <c r="H208" s="6">
        <v>6.522369384765625</v>
      </c>
      <c r="I208" s="6">
        <v>1.5594482421875</v>
      </c>
      <c r="J208" s="10">
        <v>84.09271240234375</v>
      </c>
      <c r="K208" s="6">
        <v>7.275040149688721</v>
      </c>
    </row>
    <row r="209" ht="14.25" customHeight="1">
      <c r="A209" s="5">
        <v>41863.83803240741</v>
      </c>
      <c r="B209" s="6">
        <v>12.9669189453125</v>
      </c>
      <c r="C209" s="8">
        <v>48617.12109375</v>
      </c>
      <c r="D209" s="6">
        <v>31.693260192871094</v>
      </c>
      <c r="E209" s="9">
        <v>2.61529541015625</v>
      </c>
      <c r="F209" s="6">
        <v>8.01898193359375</v>
      </c>
      <c r="G209" s="10">
        <v>-71.2890625</v>
      </c>
      <c r="H209" s="6">
        <v>6.522369384765625</v>
      </c>
      <c r="I209" s="6">
        <v>1.5594482421875</v>
      </c>
      <c r="J209" s="10">
        <v>84.1094970703125</v>
      </c>
      <c r="K209" s="6">
        <v>7.278739929199219</v>
      </c>
    </row>
    <row r="210" ht="14.25" customHeight="1">
      <c r="A210" s="5">
        <v>41863.83804398148</v>
      </c>
      <c r="B210" s="6">
        <v>12.95318603515625</v>
      </c>
      <c r="C210" s="8">
        <v>48607.05078125</v>
      </c>
      <c r="D210" s="6">
        <v>31.685436248779297</v>
      </c>
      <c r="E210" s="9">
        <v>2.69488525390625</v>
      </c>
      <c r="F210" s="6">
        <v>8.00701904296875</v>
      </c>
      <c r="G210" s="10">
        <v>-70.61767578125</v>
      </c>
      <c r="H210" s="6">
        <v>6.522369384765625</v>
      </c>
      <c r="I210" s="6">
        <v>1.5594482421875</v>
      </c>
      <c r="J210" s="10">
        <v>84.12628173828125</v>
      </c>
      <c r="K210" s="6">
        <v>7.2825517654418945</v>
      </c>
    </row>
    <row r="211" ht="14.25" customHeight="1">
      <c r="A211" s="5">
        <v>41863.83804398148</v>
      </c>
      <c r="B211" s="6">
        <v>12.935791015625</v>
      </c>
      <c r="C211" s="8">
        <v>48607.734375</v>
      </c>
      <c r="D211" s="6">
        <v>31.685274124145508</v>
      </c>
      <c r="E211" s="9">
        <v>2.766845703125</v>
      </c>
      <c r="F211" s="6">
        <v>7.9954833984375</v>
      </c>
      <c r="G211" s="10">
        <v>-69.9462890625</v>
      </c>
      <c r="H211" s="6">
        <v>6.522369384765625</v>
      </c>
      <c r="I211" s="6">
        <v>1.5594482421875</v>
      </c>
      <c r="J211" s="10">
        <v>84.14306640625</v>
      </c>
      <c r="K211" s="6">
        <v>7.286606788635254</v>
      </c>
    </row>
    <row r="212" ht="14.25" customHeight="1">
      <c r="A212" s="5">
        <v>41863.838055555556</v>
      </c>
      <c r="B212" s="6">
        <v>12.9156494140625</v>
      </c>
      <c r="C212" s="8">
        <v>48609.1875</v>
      </c>
      <c r="D212" s="6">
        <v>31.68556785583496</v>
      </c>
      <c r="E212" s="9">
        <v>2.81866455078125</v>
      </c>
      <c r="F212" s="6">
        <v>7.98309326171875</v>
      </c>
      <c r="G212" s="10">
        <v>-69.2138671875</v>
      </c>
      <c r="H212" s="6">
        <v>6.522369384765625</v>
      </c>
      <c r="I212" s="6">
        <v>1.5594482421875</v>
      </c>
      <c r="J212" s="10">
        <v>116.45355224609375</v>
      </c>
      <c r="K212" s="6">
        <v>10.088627815246582</v>
      </c>
    </row>
    <row r="213" ht="14.25" customHeight="1">
      <c r="A213" s="5">
        <v>41863.838055555556</v>
      </c>
      <c r="B213" s="6">
        <v>12.8936767578125</v>
      </c>
      <c r="C213" s="8">
        <v>48614.1328125</v>
      </c>
      <c r="D213" s="6">
        <v>31.688312530517578</v>
      </c>
      <c r="E213" s="9">
        <v>2.86773681640625</v>
      </c>
      <c r="F213" s="6">
        <v>7.971771240234375</v>
      </c>
      <c r="G213" s="10">
        <v>-68.603515625</v>
      </c>
      <c r="H213" s="6">
        <v>6.522369384765625</v>
      </c>
      <c r="I213" s="6">
        <v>1.5594482421875</v>
      </c>
      <c r="J213" s="10">
        <v>115.87448120117188</v>
      </c>
      <c r="K213" s="6">
        <v>10.042710304260254</v>
      </c>
    </row>
    <row r="214" ht="14.25" customHeight="1">
      <c r="A214" s="5">
        <v>41863.83806712963</v>
      </c>
      <c r="B214" s="6">
        <v>12.8717041015625</v>
      </c>
      <c r="C214" s="8">
        <v>48616.53515625</v>
      </c>
      <c r="D214" s="6">
        <v>31.689208984375</v>
      </c>
      <c r="E214" s="9">
        <v>2.9189453125</v>
      </c>
      <c r="F214" s="6">
        <v>7.9613037109375</v>
      </c>
      <c r="G214" s="10">
        <v>-67.9931640625</v>
      </c>
      <c r="H214" s="6">
        <v>0.983428955078125</v>
      </c>
      <c r="I214" s="6">
        <v>0.235748291015625</v>
      </c>
      <c r="J214" s="10">
        <v>115.29541015625</v>
      </c>
      <c r="K214" s="6">
        <v>9.997217178344727</v>
      </c>
    </row>
    <row r="215" ht="14.25" customHeight="1">
      <c r="A215" s="5">
        <v>41863.83806712963</v>
      </c>
      <c r="B215" s="6">
        <v>12.847900390625</v>
      </c>
      <c r="C215" s="8">
        <v>48627.51953125</v>
      </c>
      <c r="D215" s="6">
        <v>31.696258544921875</v>
      </c>
      <c r="E215" s="9">
        <v>2.9727783203125</v>
      </c>
      <c r="F215" s="6">
        <v>7.951690673828125</v>
      </c>
      <c r="G215" s="10">
        <v>-67.44384765625</v>
      </c>
      <c r="H215" s="6">
        <v>3.84521484375</v>
      </c>
      <c r="I215" s="6">
        <v>0.9185791015625</v>
      </c>
      <c r="J215" s="10">
        <v>114.67437744140625</v>
      </c>
      <c r="K215" s="6">
        <v>9.94779109954834</v>
      </c>
    </row>
    <row r="216" ht="14.25" customHeight="1">
      <c r="A216" s="5">
        <v>41863.8380787037</v>
      </c>
      <c r="B216" s="6">
        <v>12.825927734375</v>
      </c>
      <c r="C216" s="8">
        <v>48631.203125</v>
      </c>
      <c r="D216" s="6">
        <v>31.698081970214844</v>
      </c>
      <c r="E216" s="9">
        <v>3.039794921875</v>
      </c>
      <c r="F216" s="6">
        <v>7.942291259765625</v>
      </c>
      <c r="G216" s="10">
        <v>-66.89453125</v>
      </c>
      <c r="H216" s="6">
        <v>3.987884521484375</v>
      </c>
      <c r="I216" s="6">
        <v>0.952911376953125</v>
      </c>
      <c r="J216" s="10">
        <v>114.0869140625</v>
      </c>
      <c r="K216" s="6">
        <v>9.90152359008789</v>
      </c>
    </row>
    <row r="217" ht="14.25" customHeight="1">
      <c r="A217" s="5">
        <v>41863.8380787037</v>
      </c>
      <c r="B217" s="6">
        <v>12.803955078125</v>
      </c>
      <c r="C217" s="8">
        <v>48639.98828125</v>
      </c>
      <c r="D217" s="6">
        <v>31.703596115112305</v>
      </c>
      <c r="E217" s="9">
        <v>3.10858154296875</v>
      </c>
      <c r="F217" s="6">
        <v>7.933319091796875</v>
      </c>
      <c r="G217" s="10">
        <v>-66.34521484375</v>
      </c>
      <c r="H217" s="6">
        <v>4.172515869140625</v>
      </c>
      <c r="I217" s="6">
        <v>0.994873046875</v>
      </c>
      <c r="J217" s="10">
        <v>113.41552734375</v>
      </c>
      <c r="K217" s="6">
        <v>9.847410202026367</v>
      </c>
    </row>
    <row r="218" ht="14.25" customHeight="1">
      <c r="A218" s="5">
        <v>41863.83809027778</v>
      </c>
      <c r="B218" s="6">
        <v>12.781982421875</v>
      </c>
      <c r="C218" s="8">
        <v>48644.95703125</v>
      </c>
      <c r="D218" s="6">
        <v>31.706348419189453</v>
      </c>
      <c r="E218" s="9">
        <v>3.184326171875</v>
      </c>
      <c r="F218" s="6">
        <v>7.924560546875</v>
      </c>
      <c r="G218" s="10">
        <v>-65.85693359375</v>
      </c>
      <c r="H218" s="6">
        <v>4.65087890625</v>
      </c>
      <c r="I218" s="6">
        <v>1.113128662109375</v>
      </c>
      <c r="J218" s="10">
        <v>112.79449462890625</v>
      </c>
      <c r="K218" s="6">
        <v>9.797375679016113</v>
      </c>
    </row>
    <row r="219" ht="14.25" customHeight="1">
      <c r="A219" s="5">
        <v>41863.83809027778</v>
      </c>
      <c r="B219" s="6">
        <v>12.75909423828125</v>
      </c>
      <c r="C219" s="8">
        <v>48647.21875</v>
      </c>
      <c r="D219" s="6">
        <v>31.70708656311035</v>
      </c>
      <c r="E219" s="9">
        <v>3.8834228515625</v>
      </c>
      <c r="F219" s="6">
        <v>7.91558837890625</v>
      </c>
      <c r="G219" s="10">
        <v>-65.36865234375</v>
      </c>
      <c r="H219" s="6">
        <v>5.213165283203125</v>
      </c>
      <c r="I219" s="6">
        <v>1.24664306640625</v>
      </c>
      <c r="J219" s="10">
        <v>112.18185424804688</v>
      </c>
      <c r="K219" s="6">
        <v>9.749072074890137</v>
      </c>
    </row>
    <row r="220" ht="14.25" customHeight="1">
      <c r="A220" s="5">
        <v>41863.83810185185</v>
      </c>
      <c r="B220" s="6">
        <v>12.73712158203125</v>
      </c>
      <c r="C220" s="8">
        <v>48656.02734375</v>
      </c>
      <c r="D220" s="6">
        <v>31.71260643005371</v>
      </c>
      <c r="E220" s="9">
        <v>3.89447021484375</v>
      </c>
      <c r="F220" s="6">
        <v>7.9066162109375</v>
      </c>
      <c r="G220" s="10">
        <v>-64.8193359375</v>
      </c>
      <c r="H220" s="6">
        <v>5.263519287109375</v>
      </c>
      <c r="I220" s="6">
        <v>1.258087158203125</v>
      </c>
      <c r="J220" s="10">
        <v>111.55242919921875</v>
      </c>
      <c r="K220" s="6">
        <v>9.69837760925293</v>
      </c>
    </row>
    <row r="221" ht="14.25" customHeight="1">
      <c r="A221" s="5">
        <v>41863.83810185185</v>
      </c>
      <c r="B221" s="6">
        <v>12.7142333984375</v>
      </c>
      <c r="C221" s="8">
        <v>48668.51171875</v>
      </c>
      <c r="D221" s="6">
        <v>31.720745086669922</v>
      </c>
      <c r="E221" s="9">
        <v>3.90887451171875</v>
      </c>
      <c r="F221" s="6">
        <v>7.8980712890625</v>
      </c>
      <c r="G221" s="10">
        <v>-64.3310546875</v>
      </c>
      <c r="H221" s="6">
        <v>5.3558349609375</v>
      </c>
      <c r="I221" s="6">
        <v>1.27716064453125</v>
      </c>
      <c r="J221" s="10">
        <v>110.931396484375</v>
      </c>
      <c r="K221" s="6">
        <v>9.648199081420898</v>
      </c>
    </row>
    <row r="222" ht="14.25" customHeight="1">
      <c r="A222" s="5">
        <v>41863.838113425925</v>
      </c>
      <c r="B222" s="6">
        <v>12.69317626953125</v>
      </c>
      <c r="C222" s="8">
        <v>48682.61328125</v>
      </c>
      <c r="D222" s="6">
        <v>31.730131149291992</v>
      </c>
      <c r="E222" s="9">
        <v>3.91021728515625</v>
      </c>
      <c r="F222" s="6">
        <v>7.890167236328125</v>
      </c>
      <c r="G222" s="10">
        <v>-63.90380859375</v>
      </c>
      <c r="H222" s="6">
        <v>6.539154052734375</v>
      </c>
      <c r="I222" s="6">
        <v>1.563262939453125</v>
      </c>
      <c r="J222" s="10">
        <v>110.27679443359375</v>
      </c>
      <c r="K222" s="6">
        <v>9.595091819763184</v>
      </c>
    </row>
    <row r="223" ht="14.25" customHeight="1">
      <c r="A223" s="5">
        <v>41863.838113425925</v>
      </c>
      <c r="B223" s="6">
        <v>12.6739501953125</v>
      </c>
      <c r="C223" s="8">
        <v>48691.94140625</v>
      </c>
      <c r="D223" s="6">
        <v>31.736125946044922</v>
      </c>
      <c r="E223" s="9">
        <v>3.87225341796875</v>
      </c>
      <c r="F223" s="6">
        <v>7.882476806640625</v>
      </c>
      <c r="G223" s="10">
        <v>-63.4765625</v>
      </c>
      <c r="H223" s="6">
        <v>6.102752685546875</v>
      </c>
      <c r="I223" s="6">
        <v>1.456451416015625</v>
      </c>
      <c r="J223" s="10">
        <v>109.67254638671875</v>
      </c>
      <c r="K223" s="6">
        <v>9.545896530151367</v>
      </c>
    </row>
    <row r="224" ht="14.25" customHeight="1">
      <c r="A224" s="5">
        <v>41863.838125</v>
      </c>
      <c r="B224" s="6">
        <v>12.6556396484375</v>
      </c>
      <c r="C224" s="8">
        <v>48701.4453125</v>
      </c>
      <c r="D224" s="6">
        <v>31.742280960083008</v>
      </c>
      <c r="E224" s="9">
        <v>3.8043212890625</v>
      </c>
      <c r="F224" s="6">
        <v>7.875</v>
      </c>
      <c r="G224" s="10">
        <v>-62.98828125</v>
      </c>
      <c r="H224" s="6">
        <v>5.985260009765625</v>
      </c>
      <c r="I224" s="6">
        <v>1.42974853515625</v>
      </c>
      <c r="J224" s="10">
        <v>109.10186767578125</v>
      </c>
      <c r="K224" s="6">
        <v>9.499917984008789</v>
      </c>
    </row>
    <row r="225" ht="14.25" customHeight="1">
      <c r="A225" s="5">
        <v>41863.838125</v>
      </c>
      <c r="B225" s="6">
        <v>12.63916015625</v>
      </c>
      <c r="C225" s="8">
        <v>48708.73046875</v>
      </c>
      <c r="D225" s="6">
        <v>31.746896743774414</v>
      </c>
      <c r="E225" s="9">
        <v>3.731201171875</v>
      </c>
      <c r="F225" s="6">
        <v>7.86773681640625</v>
      </c>
      <c r="G225" s="10">
        <v>-62.6220703125</v>
      </c>
      <c r="H225" s="6">
        <v>5.87615966796875</v>
      </c>
      <c r="I225" s="6">
        <v>1.403045654296875</v>
      </c>
      <c r="J225" s="10">
        <v>108.48922729492188</v>
      </c>
      <c r="K225" s="6">
        <v>9.449460983276367</v>
      </c>
    </row>
    <row r="226" ht="14.25" customHeight="1">
      <c r="A226" s="5">
        <v>41863.83813657407</v>
      </c>
      <c r="B226" s="6">
        <v>12.62542724609375</v>
      </c>
      <c r="C226" s="8">
        <v>48716.5078125</v>
      </c>
      <c r="D226" s="6">
        <v>31.751977920532227</v>
      </c>
      <c r="E226" s="9">
        <v>3.6649169921875</v>
      </c>
      <c r="F226" s="6">
        <v>7.86090087890625</v>
      </c>
      <c r="G226" s="10">
        <v>-62.19482421875</v>
      </c>
      <c r="H226" s="6">
        <v>7.4371337890625</v>
      </c>
      <c r="I226" s="6">
        <v>1.776885986328125</v>
      </c>
      <c r="J226" s="10">
        <v>107.89337158203125</v>
      </c>
      <c r="K226" s="6">
        <v>9.399715423583984</v>
      </c>
    </row>
    <row r="227" ht="14.25" customHeight="1">
      <c r="A227" s="5">
        <v>41863.83813657407</v>
      </c>
      <c r="B227" s="6">
        <v>12.61260986328125</v>
      </c>
      <c r="C227" s="8">
        <v>48724.45703125</v>
      </c>
      <c r="D227" s="6">
        <v>31.757219314575195</v>
      </c>
      <c r="E227" s="9">
        <v>3.6168212890625</v>
      </c>
      <c r="F227" s="6">
        <v>7.854705810546875</v>
      </c>
      <c r="G227" s="10">
        <v>-61.82861328125</v>
      </c>
      <c r="H227" s="6">
        <v>7.260894775390625</v>
      </c>
      <c r="I227" s="6">
        <v>1.73492431640625</v>
      </c>
      <c r="J227" s="10">
        <v>107.28073120117188</v>
      </c>
      <c r="K227" s="6">
        <v>9.348638534545898</v>
      </c>
    </row>
    <row r="228" ht="14.25" customHeight="1">
      <c r="A228" s="5">
        <v>41863.83814814815</v>
      </c>
      <c r="B228" s="6">
        <v>12.60345458984375</v>
      </c>
      <c r="C228" s="8">
        <v>48731.77734375</v>
      </c>
      <c r="D228" s="6">
        <v>31.762165069580078</v>
      </c>
      <c r="E228" s="9">
        <v>3.573486328125</v>
      </c>
      <c r="F228" s="6">
        <v>7.84893798828125</v>
      </c>
      <c r="G228" s="10">
        <v>-61.5234375</v>
      </c>
      <c r="H228" s="6">
        <v>6.91680908203125</v>
      </c>
      <c r="I228" s="6">
        <v>1.6510009765625</v>
      </c>
      <c r="J228" s="10">
        <v>106.69326782226562</v>
      </c>
      <c r="K228" s="6">
        <v>9.299019813537598</v>
      </c>
    </row>
    <row r="229" ht="14.25" customHeight="1">
      <c r="A229" s="5">
        <v>41863.83814814815</v>
      </c>
      <c r="B229" s="6">
        <v>12.59613037109375</v>
      </c>
      <c r="C229" s="8">
        <v>48735.59375</v>
      </c>
      <c r="D229" s="6">
        <v>31.76462745666504</v>
      </c>
      <c r="E229" s="9">
        <v>3.53070068359375</v>
      </c>
      <c r="F229" s="6">
        <v>7.843597412109375</v>
      </c>
      <c r="G229" s="10">
        <v>-61.21826171875</v>
      </c>
      <c r="H229" s="6">
        <v>7.31964111328125</v>
      </c>
      <c r="I229" s="6">
        <v>1.75018310546875</v>
      </c>
      <c r="J229" s="10">
        <v>106.10580444335938</v>
      </c>
      <c r="K229" s="6">
        <v>9.248981475830078</v>
      </c>
    </row>
    <row r="230" ht="14.25" customHeight="1">
      <c r="A230" s="5">
        <v>41863.838159722225</v>
      </c>
      <c r="B230" s="6">
        <v>12.58880615234375</v>
      </c>
      <c r="C230" s="8">
        <v>48740.6875</v>
      </c>
      <c r="D230" s="6">
        <v>31.768020629882812</v>
      </c>
      <c r="E230" s="9">
        <v>3.50213623046875</v>
      </c>
      <c r="F230" s="6">
        <v>7.83868408203125</v>
      </c>
      <c r="G230" s="10">
        <v>-60.9130859375</v>
      </c>
      <c r="H230" s="6">
        <v>7.403564453125</v>
      </c>
      <c r="I230" s="6">
        <v>1.769256591796875</v>
      </c>
      <c r="J230" s="10">
        <v>105.51834106445312</v>
      </c>
      <c r="K230" s="6">
        <v>9.19916820526123</v>
      </c>
    </row>
    <row r="231" ht="14.25" customHeight="1">
      <c r="A231" s="5">
        <v>41863.838159722225</v>
      </c>
      <c r="B231" s="6">
        <v>12.584228515625</v>
      </c>
      <c r="C231" s="8">
        <v>48743.71875</v>
      </c>
      <c r="D231" s="6">
        <v>31.77002716064453</v>
      </c>
      <c r="E231" s="9">
        <v>3.47900390625</v>
      </c>
      <c r="F231" s="6">
        <v>7.834197998046875</v>
      </c>
      <c r="G231" s="10">
        <v>-60.6689453125</v>
      </c>
      <c r="H231" s="6">
        <v>7.076263427734375</v>
      </c>
      <c r="I231" s="6">
        <v>1.692962646484375</v>
      </c>
      <c r="J231" s="10">
        <v>104.93927001953125</v>
      </c>
      <c r="K231" s="6">
        <v>9.149024963378906</v>
      </c>
    </row>
    <row r="232" ht="14.25" customHeight="1">
      <c r="A232" s="5">
        <v>41863.838171296295</v>
      </c>
      <c r="B232" s="6">
        <v>12.58056640625</v>
      </c>
      <c r="C232" s="8">
        <v>48745.62890625</v>
      </c>
      <c r="D232" s="6">
        <v>31.771263122558594</v>
      </c>
      <c r="E232" s="9">
        <v>3.4583740234375</v>
      </c>
      <c r="F232" s="6">
        <v>7.830352783203125</v>
      </c>
      <c r="G232" s="10">
        <v>-60.48583984375</v>
      </c>
      <c r="H232" s="6">
        <v>6.9000244140625</v>
      </c>
      <c r="I232" s="6">
        <v>1.647186279296875</v>
      </c>
      <c r="J232" s="10">
        <v>104.40216064453125</v>
      </c>
      <c r="K232" s="6">
        <v>9.103241920471191</v>
      </c>
    </row>
    <row r="233" ht="14.25" customHeight="1">
      <c r="A233" s="5">
        <v>41863.838171296295</v>
      </c>
      <c r="B233" s="6">
        <v>12.57781982421875</v>
      </c>
      <c r="C233" s="8">
        <v>48747.69921875</v>
      </c>
      <c r="D233" s="6">
        <v>31.772647857666016</v>
      </c>
      <c r="E233" s="9">
        <v>3.4403076171875</v>
      </c>
      <c r="F233" s="6">
        <v>7.82672119140625</v>
      </c>
      <c r="G233" s="10">
        <v>-60.24169921875</v>
      </c>
      <c r="H233" s="6">
        <v>6.925201416015625</v>
      </c>
      <c r="I233" s="6">
        <v>1.654815673828125</v>
      </c>
      <c r="J233" s="10">
        <v>103.85665893554688</v>
      </c>
      <c r="K233" s="6">
        <v>9.055927276611328</v>
      </c>
    </row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5"/>
    <col customWidth="1" min="2" max="2" width="11.5"/>
    <col customWidth="1" min="3" max="3" width="16.75"/>
    <col customWidth="1" min="4" max="4" width="11.5"/>
    <col customWidth="1" min="5" max="5" width="4.63"/>
    <col customWidth="1" min="6" max="6" width="4.5"/>
    <col customWidth="1" min="7" max="10" width="5.5"/>
    <col customWidth="1" min="11" max="11" width="4.5"/>
    <col customWidth="1" min="12" max="13" width="5.5"/>
    <col customWidth="1" min="14" max="28" width="8.63"/>
  </cols>
  <sheetData>
    <row r="1" ht="14.25" customHeight="1">
      <c r="A1" s="11"/>
      <c r="B1" s="11"/>
      <c r="C1" s="11"/>
      <c r="D1" s="11"/>
      <c r="E1" s="11" t="s">
        <v>121</v>
      </c>
      <c r="F1" s="11"/>
      <c r="G1" s="11"/>
      <c r="H1" s="11"/>
      <c r="I1" s="11"/>
      <c r="J1" s="11" t="s">
        <v>122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ht="14.25" customHeight="1">
      <c r="A2" s="11" t="s">
        <v>2</v>
      </c>
      <c r="B2" s="12" t="s">
        <v>0</v>
      </c>
      <c r="C2" s="12" t="s">
        <v>3</v>
      </c>
      <c r="D2" s="11" t="s">
        <v>123</v>
      </c>
      <c r="E2" s="11" t="s">
        <v>124</v>
      </c>
      <c r="F2" s="11" t="s">
        <v>125</v>
      </c>
      <c r="G2" s="11" t="s">
        <v>126</v>
      </c>
      <c r="H2" s="11" t="s">
        <v>127</v>
      </c>
      <c r="I2" s="11"/>
      <c r="J2" s="11" t="s">
        <v>124</v>
      </c>
      <c r="K2" s="11" t="s">
        <v>125</v>
      </c>
      <c r="L2" s="11" t="s">
        <v>126</v>
      </c>
      <c r="M2" s="11" t="s">
        <v>127</v>
      </c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ht="14.25" customHeight="1">
      <c r="A3" s="13">
        <v>0.3125</v>
      </c>
      <c r="B3" s="14">
        <v>41863.0</v>
      </c>
      <c r="C3" s="15">
        <f t="shared" ref="C3:C7" si="2">B3+A3</f>
        <v>41863.3125</v>
      </c>
      <c r="D3" s="16">
        <v>0.5</v>
      </c>
      <c r="E3" s="17">
        <v>4.0</v>
      </c>
      <c r="F3" s="17">
        <v>5.0</v>
      </c>
      <c r="G3" s="17">
        <v>39.0</v>
      </c>
      <c r="H3" s="17">
        <v>9.0</v>
      </c>
      <c r="I3" s="17"/>
      <c r="J3" s="18">
        <f t="shared" ref="J3:M3" si="1">E3/$D3</f>
        <v>8</v>
      </c>
      <c r="K3" s="18">
        <f t="shared" si="1"/>
        <v>10</v>
      </c>
      <c r="L3" s="18">
        <f t="shared" si="1"/>
        <v>78</v>
      </c>
      <c r="M3" s="18">
        <f t="shared" si="1"/>
        <v>18</v>
      </c>
    </row>
    <row r="4" ht="14.25" customHeight="1">
      <c r="A4" s="13">
        <v>0.4375</v>
      </c>
      <c r="B4" s="14">
        <v>41863.0</v>
      </c>
      <c r="C4" s="15">
        <f t="shared" si="2"/>
        <v>41863.4375</v>
      </c>
      <c r="D4" s="16">
        <v>0.5</v>
      </c>
      <c r="E4" s="17">
        <v>4.0</v>
      </c>
      <c r="F4" s="17">
        <v>1.0</v>
      </c>
      <c r="G4" s="17">
        <v>2.0</v>
      </c>
      <c r="H4" s="17">
        <v>4.0</v>
      </c>
      <c r="I4" s="17"/>
      <c r="J4" s="18">
        <f t="shared" ref="J4:M4" si="3">E4/$D4</f>
        <v>8</v>
      </c>
      <c r="K4" s="18">
        <f t="shared" si="3"/>
        <v>2</v>
      </c>
      <c r="L4" s="18">
        <f t="shared" si="3"/>
        <v>4</v>
      </c>
      <c r="M4" s="18">
        <f t="shared" si="3"/>
        <v>8</v>
      </c>
    </row>
    <row r="5" ht="14.25" customHeight="1">
      <c r="A5" s="13">
        <v>0.5625</v>
      </c>
      <c r="B5" s="14">
        <v>41863.0</v>
      </c>
      <c r="C5" s="15">
        <f t="shared" si="2"/>
        <v>41863.5625</v>
      </c>
      <c r="D5" s="16">
        <v>0.5</v>
      </c>
      <c r="E5" s="17">
        <v>12.0</v>
      </c>
      <c r="F5" s="17">
        <v>7.0</v>
      </c>
      <c r="G5" s="17">
        <v>10.0</v>
      </c>
      <c r="H5" s="17">
        <v>8.0</v>
      </c>
      <c r="I5" s="17"/>
      <c r="J5" s="18">
        <f t="shared" ref="J5:M5" si="4">E5/$D5</f>
        <v>24</v>
      </c>
      <c r="K5" s="18">
        <f t="shared" si="4"/>
        <v>14</v>
      </c>
      <c r="L5" s="18">
        <f t="shared" si="4"/>
        <v>20</v>
      </c>
      <c r="M5" s="18">
        <f t="shared" si="4"/>
        <v>16</v>
      </c>
    </row>
    <row r="6" ht="14.25" customHeight="1">
      <c r="A6" s="13">
        <v>0.6875</v>
      </c>
      <c r="B6" s="14">
        <v>41863.0</v>
      </c>
      <c r="C6" s="15">
        <f t="shared" si="2"/>
        <v>41863.6875</v>
      </c>
      <c r="D6" s="16">
        <v>0.5</v>
      </c>
      <c r="E6" s="17">
        <v>40.0</v>
      </c>
      <c r="F6" s="17">
        <v>40.0</v>
      </c>
      <c r="G6" s="17">
        <v>52.0</v>
      </c>
      <c r="H6" s="17">
        <v>47.0</v>
      </c>
      <c r="I6" s="17"/>
      <c r="J6" s="18">
        <f t="shared" ref="J6:M6" si="5">E6/$D6</f>
        <v>80</v>
      </c>
      <c r="K6" s="18">
        <f t="shared" si="5"/>
        <v>80</v>
      </c>
      <c r="L6" s="18">
        <f t="shared" si="5"/>
        <v>104</v>
      </c>
      <c r="M6" s="18">
        <f t="shared" si="5"/>
        <v>94</v>
      </c>
    </row>
    <row r="7" ht="14.25" customHeight="1">
      <c r="A7" s="13">
        <v>0.8229166666666666</v>
      </c>
      <c r="B7" s="14">
        <v>41863.0</v>
      </c>
      <c r="C7" s="15">
        <f t="shared" si="2"/>
        <v>41863.82292</v>
      </c>
      <c r="D7" s="16">
        <v>0.5</v>
      </c>
      <c r="E7" s="17">
        <v>15.0</v>
      </c>
      <c r="F7" s="17">
        <v>18.0</v>
      </c>
      <c r="G7" s="17">
        <v>34.0</v>
      </c>
      <c r="H7" s="17">
        <v>64.0</v>
      </c>
      <c r="I7" s="17"/>
      <c r="J7" s="18">
        <f t="shared" ref="J7:M7" si="6">E7/$D7</f>
        <v>30</v>
      </c>
      <c r="K7" s="18">
        <f t="shared" si="6"/>
        <v>36</v>
      </c>
      <c r="L7" s="18">
        <f t="shared" si="6"/>
        <v>68</v>
      </c>
      <c r="M7" s="18">
        <f t="shared" si="6"/>
        <v>128</v>
      </c>
    </row>
    <row r="8" ht="14.25" customHeight="1">
      <c r="H8" s="17"/>
      <c r="I8" s="17"/>
    </row>
    <row r="9" ht="14.25" customHeight="1">
      <c r="H9" s="17"/>
      <c r="I9" s="17"/>
    </row>
    <row r="10" ht="14.25" customHeight="1">
      <c r="H10" s="17"/>
      <c r="I10" s="17"/>
    </row>
    <row r="11" ht="14.25" customHeight="1">
      <c r="I11" s="17"/>
    </row>
    <row r="12" ht="14.25" customHeight="1">
      <c r="I12" s="17"/>
    </row>
    <row r="13" ht="14.25" customHeight="1">
      <c r="I13" s="17"/>
    </row>
    <row r="14" ht="14.25" customHeight="1">
      <c r="I14" s="17"/>
    </row>
    <row r="15" ht="14.25" customHeight="1">
      <c r="I15" s="17"/>
    </row>
    <row r="16" ht="14.25" customHeight="1">
      <c r="I16" s="17"/>
    </row>
    <row r="17" ht="14.25" customHeight="1">
      <c r="I17" s="17"/>
    </row>
    <row r="18" ht="14.25" customHeight="1">
      <c r="I18" s="17"/>
    </row>
    <row r="19" ht="14.25" customHeight="1">
      <c r="B19" s="13"/>
      <c r="C19" s="13"/>
      <c r="D19" s="13"/>
      <c r="E19" s="13"/>
      <c r="F19" s="13"/>
      <c r="G19" s="13"/>
      <c r="H19" s="13"/>
      <c r="I19" s="13"/>
    </row>
    <row r="20" ht="14.25" customHeight="1">
      <c r="B20" s="17"/>
      <c r="C20" s="17"/>
      <c r="D20" s="17"/>
      <c r="E20" s="17"/>
      <c r="F20" s="17"/>
      <c r="G20" s="17"/>
      <c r="H20" s="17"/>
      <c r="I20" s="17"/>
    </row>
    <row r="21" ht="14.25" customHeight="1">
      <c r="B21" s="17"/>
      <c r="C21" s="17"/>
      <c r="D21" s="17"/>
      <c r="E21" s="17"/>
      <c r="F21" s="17"/>
      <c r="G21" s="17"/>
      <c r="H21" s="17"/>
      <c r="I21" s="17"/>
    </row>
    <row r="22" ht="14.25" customHeight="1">
      <c r="B22" s="17"/>
      <c r="C22" s="17"/>
      <c r="D22" s="17"/>
      <c r="E22" s="17"/>
      <c r="F22" s="17"/>
      <c r="G22" s="17"/>
      <c r="H22" s="17"/>
      <c r="I22" s="17"/>
    </row>
    <row r="23" ht="14.25" customHeight="1">
      <c r="B23" s="17"/>
      <c r="C23" s="17"/>
      <c r="D23" s="17"/>
      <c r="E23" s="17"/>
      <c r="F23" s="17"/>
      <c r="G23" s="17"/>
      <c r="H23" s="17"/>
      <c r="I23" s="17"/>
    </row>
    <row r="24" ht="14.25" customHeight="1">
      <c r="I24" s="17"/>
    </row>
    <row r="25" ht="14.25" customHeight="1">
      <c r="I25" s="17"/>
    </row>
    <row r="26" ht="14.25" customHeight="1">
      <c r="I26" s="17"/>
    </row>
    <row r="27" ht="14.25" customHeight="1">
      <c r="I27" s="17"/>
    </row>
    <row r="28" ht="14.25" customHeight="1">
      <c r="I28" s="17"/>
    </row>
    <row r="29" ht="14.25" customHeight="1">
      <c r="I29" s="17"/>
    </row>
    <row r="30" ht="14.25" customHeight="1">
      <c r="I30" s="17"/>
    </row>
    <row r="31" ht="14.25" customHeight="1">
      <c r="I31" s="17"/>
    </row>
    <row r="32" ht="14.25" customHeight="1">
      <c r="I32" s="17"/>
    </row>
    <row r="33" ht="14.25" customHeight="1">
      <c r="I33" s="17"/>
    </row>
    <row r="34" ht="14.25" customHeight="1">
      <c r="I34" s="17"/>
    </row>
    <row r="35" ht="14.25" customHeight="1">
      <c r="I35" s="17"/>
    </row>
    <row r="36" ht="14.25" customHeight="1">
      <c r="I36" s="17"/>
    </row>
    <row r="37" ht="14.25" customHeight="1">
      <c r="I37" s="17"/>
    </row>
    <row r="38" ht="14.25" customHeight="1">
      <c r="I38" s="17"/>
    </row>
    <row r="39" ht="14.25" customHeight="1">
      <c r="I39" s="17"/>
    </row>
    <row r="40" ht="14.25" customHeight="1">
      <c r="I40" s="17"/>
    </row>
    <row r="41" ht="14.25" customHeight="1">
      <c r="I41" s="17"/>
    </row>
    <row r="42" ht="14.25" customHeight="1">
      <c r="I42" s="17"/>
    </row>
    <row r="43" ht="14.25" customHeight="1">
      <c r="I43" s="17"/>
    </row>
    <row r="44" ht="14.25" customHeight="1">
      <c r="I44" s="17"/>
    </row>
    <row r="45" ht="14.25" customHeight="1">
      <c r="I45" s="17"/>
    </row>
    <row r="46" ht="14.25" customHeight="1">
      <c r="I46" s="17"/>
    </row>
    <row r="47" ht="14.25" customHeight="1">
      <c r="I47" s="17"/>
    </row>
    <row r="48" ht="14.25" customHeight="1">
      <c r="I48" s="17"/>
    </row>
    <row r="49" ht="14.25" customHeight="1">
      <c r="I49" s="17"/>
    </row>
    <row r="50" ht="14.25" customHeight="1">
      <c r="I50" s="17"/>
    </row>
    <row r="51" ht="14.25" customHeight="1">
      <c r="I51" s="17"/>
    </row>
    <row r="52" ht="14.25" customHeight="1">
      <c r="I52" s="17"/>
    </row>
    <row r="53" ht="14.25" customHeight="1">
      <c r="I53" s="17"/>
    </row>
    <row r="54" ht="14.25" customHeight="1">
      <c r="I54" s="17"/>
    </row>
    <row r="55" ht="14.25" customHeight="1">
      <c r="I55" s="17"/>
    </row>
    <row r="56" ht="14.25" customHeight="1">
      <c r="I56" s="17"/>
    </row>
    <row r="57" ht="14.25" customHeight="1">
      <c r="I57" s="17"/>
    </row>
    <row r="58" ht="14.25" customHeight="1">
      <c r="I58" s="17"/>
    </row>
    <row r="59" ht="14.25" customHeight="1">
      <c r="I59" s="17"/>
    </row>
    <row r="60" ht="14.25" customHeight="1">
      <c r="I60" s="17"/>
    </row>
    <row r="61" ht="14.25" customHeight="1">
      <c r="I61" s="17"/>
    </row>
    <row r="62" ht="14.25" customHeight="1">
      <c r="I62" s="17"/>
    </row>
    <row r="63" ht="14.25" customHeight="1">
      <c r="I63" s="17"/>
    </row>
    <row r="64" ht="14.25" customHeight="1">
      <c r="I64" s="17"/>
    </row>
    <row r="65" ht="14.25" customHeight="1">
      <c r="I65" s="17"/>
    </row>
    <row r="66" ht="14.25" customHeight="1">
      <c r="I66" s="17"/>
    </row>
    <row r="67" ht="14.25" customHeight="1">
      <c r="I67" s="17"/>
    </row>
    <row r="68" ht="14.25" customHeight="1">
      <c r="I68" s="17"/>
    </row>
    <row r="69" ht="14.25" customHeight="1">
      <c r="I69" s="17"/>
    </row>
    <row r="70" ht="14.25" customHeight="1">
      <c r="I70" s="17"/>
    </row>
    <row r="71" ht="14.25" customHeight="1">
      <c r="I71" s="17"/>
    </row>
    <row r="72" ht="14.25" customHeight="1">
      <c r="I72" s="17"/>
    </row>
    <row r="73" ht="14.25" customHeight="1">
      <c r="I73" s="17"/>
    </row>
    <row r="74" ht="14.25" customHeight="1">
      <c r="I74" s="17"/>
    </row>
    <row r="75" ht="14.25" customHeight="1">
      <c r="I75" s="17"/>
    </row>
    <row r="76" ht="14.25" customHeight="1">
      <c r="I76" s="17"/>
    </row>
    <row r="77" ht="14.25" customHeight="1">
      <c r="I77" s="17"/>
    </row>
    <row r="78" ht="14.25" customHeight="1">
      <c r="I78" s="17"/>
    </row>
    <row r="79" ht="14.25" customHeight="1">
      <c r="I79" s="17"/>
    </row>
    <row r="80" ht="14.25" customHeight="1">
      <c r="I80" s="17"/>
    </row>
    <row r="81" ht="14.25" customHeight="1">
      <c r="I81" s="17"/>
    </row>
    <row r="82" ht="14.25" customHeight="1">
      <c r="I82" s="17"/>
    </row>
    <row r="83" ht="14.25" customHeight="1">
      <c r="I83" s="17"/>
    </row>
    <row r="84" ht="14.25" customHeight="1">
      <c r="I84" s="17"/>
    </row>
    <row r="85" ht="14.25" customHeight="1">
      <c r="I85" s="17"/>
    </row>
    <row r="86" ht="14.25" customHeight="1">
      <c r="I86" s="17"/>
    </row>
    <row r="87" ht="14.25" customHeight="1">
      <c r="I87" s="17"/>
    </row>
    <row r="88" ht="14.25" customHeight="1">
      <c r="I88" s="17"/>
    </row>
    <row r="89" ht="14.25" customHeight="1">
      <c r="I89" s="17"/>
    </row>
    <row r="90" ht="14.25" customHeight="1">
      <c r="I90" s="17"/>
    </row>
    <row r="91" ht="14.25" customHeight="1">
      <c r="I91" s="17"/>
    </row>
    <row r="92" ht="14.25" customHeight="1">
      <c r="I92" s="17"/>
    </row>
    <row r="93" ht="14.25" customHeight="1">
      <c r="I93" s="17"/>
    </row>
    <row r="94" ht="14.25" customHeight="1">
      <c r="I94" s="17"/>
    </row>
    <row r="95" ht="14.25" customHeight="1">
      <c r="I95" s="17"/>
    </row>
    <row r="96" ht="14.25" customHeight="1">
      <c r="I96" s="17"/>
    </row>
    <row r="97" ht="14.25" customHeight="1">
      <c r="I97" s="17"/>
    </row>
    <row r="98" ht="14.25" customHeight="1">
      <c r="I98" s="17"/>
    </row>
    <row r="99" ht="14.25" customHeight="1">
      <c r="I99" s="17"/>
    </row>
    <row r="100" ht="14.25" customHeight="1">
      <c r="I100" s="17"/>
    </row>
    <row r="101" ht="14.25" customHeight="1">
      <c r="I101" s="17"/>
    </row>
    <row r="102" ht="14.25" customHeight="1">
      <c r="I102" s="17"/>
    </row>
    <row r="103" ht="14.25" customHeight="1">
      <c r="I103" s="17"/>
    </row>
    <row r="104" ht="14.25" customHeight="1">
      <c r="I104" s="17"/>
    </row>
    <row r="105" ht="14.25" customHeight="1">
      <c r="I105" s="17"/>
    </row>
    <row r="106" ht="14.25" customHeight="1">
      <c r="I106" s="17"/>
    </row>
    <row r="107" ht="14.25" customHeight="1">
      <c r="I107" s="17"/>
    </row>
    <row r="108" ht="14.25" customHeight="1">
      <c r="I108" s="17"/>
    </row>
    <row r="109" ht="14.25" customHeight="1">
      <c r="I109" s="17"/>
    </row>
    <row r="110" ht="14.25" customHeight="1">
      <c r="I110" s="17"/>
    </row>
    <row r="111" ht="14.25" customHeight="1">
      <c r="I111" s="17"/>
    </row>
    <row r="112" ht="14.25" customHeight="1">
      <c r="I112" s="17"/>
    </row>
    <row r="113" ht="14.25" customHeight="1">
      <c r="I113" s="17"/>
    </row>
    <row r="114" ht="14.25" customHeight="1">
      <c r="I114" s="17"/>
    </row>
    <row r="115" ht="14.25" customHeight="1">
      <c r="I115" s="17"/>
    </row>
    <row r="116" ht="14.25" customHeight="1">
      <c r="I116" s="17"/>
    </row>
    <row r="117" ht="14.25" customHeight="1">
      <c r="I117" s="17"/>
    </row>
    <row r="118" ht="14.25" customHeight="1">
      <c r="I118" s="17"/>
    </row>
    <row r="119" ht="14.25" customHeight="1">
      <c r="I119" s="17"/>
    </row>
    <row r="120" ht="14.25" customHeight="1">
      <c r="I120" s="17"/>
    </row>
    <row r="121" ht="14.25" customHeight="1">
      <c r="I121" s="17"/>
    </row>
    <row r="122" ht="14.25" customHeight="1">
      <c r="I122" s="17"/>
    </row>
    <row r="123" ht="14.25" customHeight="1">
      <c r="I123" s="17"/>
    </row>
    <row r="124" ht="14.25" customHeight="1">
      <c r="I124" s="17"/>
    </row>
    <row r="125" ht="14.25" customHeight="1">
      <c r="I125" s="17"/>
    </row>
    <row r="126" ht="14.25" customHeight="1">
      <c r="I126" s="17"/>
    </row>
    <row r="127" ht="14.25" customHeight="1">
      <c r="I127" s="17"/>
    </row>
    <row r="128" ht="14.25" customHeight="1">
      <c r="I128" s="17"/>
    </row>
    <row r="129" ht="14.25" customHeight="1">
      <c r="I129" s="17"/>
    </row>
    <row r="130" ht="14.25" customHeight="1">
      <c r="I130" s="17"/>
    </row>
    <row r="131" ht="14.25" customHeight="1">
      <c r="I131" s="17"/>
    </row>
    <row r="132" ht="14.25" customHeight="1">
      <c r="I132" s="17"/>
    </row>
    <row r="133" ht="14.25" customHeight="1">
      <c r="I133" s="17"/>
    </row>
    <row r="134" ht="14.25" customHeight="1">
      <c r="I134" s="17"/>
    </row>
    <row r="135" ht="14.25" customHeight="1">
      <c r="I135" s="17"/>
    </row>
    <row r="136" ht="14.25" customHeight="1">
      <c r="I136" s="17"/>
    </row>
    <row r="137" ht="14.25" customHeight="1">
      <c r="I137" s="17"/>
    </row>
    <row r="138" ht="14.25" customHeight="1">
      <c r="I138" s="17"/>
    </row>
    <row r="139" ht="14.25" customHeight="1">
      <c r="I139" s="17"/>
    </row>
    <row r="140" ht="14.25" customHeight="1">
      <c r="I140" s="17"/>
    </row>
    <row r="141" ht="14.25" customHeight="1">
      <c r="I141" s="17"/>
    </row>
    <row r="142" ht="14.25" customHeight="1">
      <c r="I142" s="17"/>
    </row>
    <row r="143" ht="14.25" customHeight="1">
      <c r="I143" s="17"/>
    </row>
    <row r="144" ht="14.25" customHeight="1">
      <c r="I144" s="17"/>
    </row>
    <row r="145" ht="14.25" customHeight="1">
      <c r="I145" s="17"/>
    </row>
    <row r="146" ht="14.25" customHeight="1">
      <c r="I146" s="17"/>
    </row>
    <row r="147" ht="14.25" customHeight="1">
      <c r="I147" s="17"/>
    </row>
    <row r="148" ht="14.25" customHeight="1">
      <c r="I148" s="17"/>
    </row>
    <row r="149" ht="14.25" customHeight="1">
      <c r="I149" s="17"/>
    </row>
    <row r="150" ht="14.25" customHeight="1">
      <c r="I150" s="17"/>
    </row>
    <row r="151" ht="14.25" customHeight="1">
      <c r="I151" s="17"/>
    </row>
    <row r="152" ht="14.25" customHeight="1">
      <c r="I152" s="17"/>
    </row>
    <row r="153" ht="14.25" customHeight="1">
      <c r="I153" s="17"/>
    </row>
    <row r="154" ht="14.25" customHeight="1">
      <c r="I154" s="17"/>
    </row>
    <row r="155" ht="14.25" customHeight="1">
      <c r="I155" s="17"/>
    </row>
    <row r="156" ht="14.25" customHeight="1">
      <c r="I156" s="17"/>
    </row>
    <row r="157" ht="14.25" customHeight="1">
      <c r="I157" s="17"/>
    </row>
    <row r="158" ht="14.25" customHeight="1">
      <c r="I158" s="17"/>
    </row>
    <row r="159" ht="14.25" customHeight="1">
      <c r="I159" s="17"/>
    </row>
    <row r="160" ht="14.25" customHeight="1">
      <c r="I160" s="17"/>
    </row>
    <row r="161" ht="14.25" customHeight="1">
      <c r="I161" s="17"/>
    </row>
    <row r="162" ht="14.25" customHeight="1">
      <c r="I162" s="17"/>
    </row>
    <row r="163" ht="14.25" customHeight="1">
      <c r="I163" s="17"/>
    </row>
    <row r="164" ht="14.25" customHeight="1">
      <c r="I164" s="17"/>
    </row>
    <row r="165" ht="14.25" customHeight="1">
      <c r="I165" s="17"/>
    </row>
    <row r="166" ht="14.25" customHeight="1">
      <c r="I166" s="17"/>
    </row>
    <row r="167" ht="14.25" customHeight="1">
      <c r="I167" s="17"/>
    </row>
    <row r="168" ht="14.25" customHeight="1">
      <c r="I168" s="17"/>
    </row>
    <row r="169" ht="14.25" customHeight="1">
      <c r="I169" s="17"/>
    </row>
    <row r="170" ht="14.25" customHeight="1">
      <c r="I170" s="17"/>
    </row>
    <row r="171" ht="14.25" customHeight="1">
      <c r="I171" s="17"/>
    </row>
    <row r="172" ht="14.25" customHeight="1">
      <c r="I172" s="17"/>
    </row>
    <row r="173" ht="14.25" customHeight="1">
      <c r="I173" s="17"/>
    </row>
    <row r="174" ht="14.25" customHeight="1">
      <c r="I174" s="17"/>
    </row>
    <row r="175" ht="14.25" customHeight="1">
      <c r="I175" s="17"/>
    </row>
    <row r="176" ht="14.25" customHeight="1">
      <c r="I176" s="17"/>
    </row>
    <row r="177" ht="14.25" customHeight="1">
      <c r="I177" s="17"/>
    </row>
    <row r="178" ht="14.25" customHeight="1">
      <c r="I178" s="17"/>
    </row>
    <row r="179" ht="14.25" customHeight="1">
      <c r="I179" s="17"/>
    </row>
    <row r="180" ht="14.25" customHeight="1">
      <c r="I180" s="17"/>
    </row>
    <row r="181" ht="14.25" customHeight="1">
      <c r="I181" s="17"/>
    </row>
    <row r="182" ht="14.25" customHeight="1">
      <c r="I182" s="17"/>
    </row>
    <row r="183" ht="14.25" customHeight="1">
      <c r="I183" s="17"/>
    </row>
    <row r="184" ht="14.25" customHeight="1">
      <c r="I184" s="17"/>
    </row>
    <row r="185" ht="14.25" customHeight="1">
      <c r="I185" s="17"/>
    </row>
    <row r="186" ht="14.25" customHeight="1">
      <c r="I186" s="17"/>
    </row>
    <row r="187" ht="14.25" customHeight="1">
      <c r="I187" s="17"/>
    </row>
    <row r="188" ht="14.25" customHeight="1">
      <c r="I188" s="17"/>
    </row>
    <row r="189" ht="14.25" customHeight="1">
      <c r="I189" s="17"/>
    </row>
    <row r="190" ht="14.25" customHeight="1">
      <c r="I190" s="17"/>
    </row>
    <row r="191" ht="14.25" customHeight="1">
      <c r="I191" s="17"/>
    </row>
    <row r="192" ht="14.25" customHeight="1">
      <c r="I192" s="17"/>
    </row>
    <row r="193" ht="14.25" customHeight="1">
      <c r="I193" s="17"/>
    </row>
    <row r="194" ht="14.25" customHeight="1">
      <c r="I194" s="17"/>
    </row>
    <row r="195" ht="14.25" customHeight="1">
      <c r="I195" s="17"/>
    </row>
    <row r="196" ht="14.25" customHeight="1">
      <c r="I196" s="17"/>
    </row>
    <row r="197" ht="14.25" customHeight="1">
      <c r="I197" s="17"/>
    </row>
    <row r="198" ht="14.25" customHeight="1">
      <c r="I198" s="17"/>
    </row>
    <row r="199" ht="14.25" customHeight="1">
      <c r="I199" s="17"/>
    </row>
    <row r="200" ht="14.25" customHeight="1">
      <c r="I200" s="17"/>
    </row>
    <row r="201" ht="14.25" customHeight="1">
      <c r="I201" s="17"/>
    </row>
    <row r="202" ht="14.25" customHeight="1">
      <c r="I202" s="17"/>
    </row>
    <row r="203" ht="14.25" customHeight="1">
      <c r="I203" s="17"/>
    </row>
    <row r="204" ht="14.25" customHeight="1">
      <c r="I204" s="17"/>
    </row>
    <row r="205" ht="14.25" customHeight="1">
      <c r="I205" s="17"/>
    </row>
    <row r="206" ht="14.25" customHeight="1">
      <c r="I206" s="17"/>
    </row>
    <row r="207" ht="14.25" customHeight="1">
      <c r="I207" s="17"/>
    </row>
    <row r="208" ht="14.25" customHeight="1">
      <c r="I208" s="17"/>
    </row>
    <row r="209" ht="14.25" customHeight="1">
      <c r="I209" s="17"/>
    </row>
    <row r="210" ht="14.25" customHeight="1">
      <c r="I210" s="17"/>
    </row>
    <row r="211" ht="14.25" customHeight="1">
      <c r="I211" s="17"/>
    </row>
    <row r="212" ht="14.25" customHeight="1">
      <c r="I212" s="17"/>
    </row>
    <row r="213" ht="14.25" customHeight="1">
      <c r="I213" s="17"/>
    </row>
    <row r="214" ht="14.25" customHeight="1">
      <c r="I214" s="17"/>
    </row>
    <row r="215" ht="14.25" customHeight="1">
      <c r="I215" s="17"/>
    </row>
    <row r="216" ht="14.25" customHeight="1">
      <c r="I216" s="17"/>
    </row>
    <row r="217" ht="14.25" customHeight="1">
      <c r="I217" s="17"/>
    </row>
    <row r="218" ht="14.25" customHeight="1">
      <c r="I218" s="17"/>
    </row>
    <row r="219" ht="14.25" customHeight="1">
      <c r="I219" s="17"/>
    </row>
    <row r="220" ht="14.25" customHeight="1">
      <c r="I220" s="17"/>
    </row>
    <row r="221" ht="14.25" customHeight="1">
      <c r="I221" s="17"/>
    </row>
    <row r="222" ht="14.25" customHeight="1">
      <c r="I222" s="17"/>
    </row>
    <row r="223" ht="14.25" customHeight="1">
      <c r="I223" s="17"/>
    </row>
    <row r="224" ht="14.25" customHeight="1">
      <c r="I224" s="17"/>
    </row>
    <row r="225" ht="14.25" customHeight="1">
      <c r="I225" s="17"/>
    </row>
    <row r="226" ht="14.25" customHeight="1">
      <c r="I226" s="17"/>
    </row>
    <row r="227" ht="14.25" customHeight="1">
      <c r="I227" s="17"/>
    </row>
    <row r="228" ht="14.25" customHeight="1">
      <c r="I228" s="17"/>
    </row>
    <row r="229" ht="14.25" customHeight="1">
      <c r="I229" s="17"/>
    </row>
    <row r="230" ht="14.25" customHeight="1">
      <c r="I230" s="17"/>
    </row>
    <row r="231" ht="14.25" customHeight="1">
      <c r="I231" s="17"/>
    </row>
    <row r="232" ht="14.25" customHeight="1">
      <c r="I232" s="17"/>
    </row>
    <row r="233" ht="14.25" customHeight="1">
      <c r="I233" s="17"/>
    </row>
    <row r="234" ht="14.25" customHeight="1">
      <c r="I234" s="17"/>
    </row>
    <row r="235" ht="14.25" customHeight="1">
      <c r="I235" s="17"/>
    </row>
    <row r="236" ht="14.25" customHeight="1">
      <c r="I236" s="17"/>
    </row>
    <row r="237" ht="14.25" customHeight="1">
      <c r="I237" s="17"/>
    </row>
    <row r="238" ht="14.25" customHeight="1">
      <c r="I238" s="17"/>
    </row>
    <row r="239" ht="14.25" customHeight="1">
      <c r="I239" s="17"/>
    </row>
    <row r="240" ht="14.25" customHeight="1">
      <c r="I240" s="17"/>
    </row>
    <row r="241" ht="14.25" customHeight="1">
      <c r="I241" s="17"/>
    </row>
    <row r="242" ht="14.25" customHeight="1">
      <c r="I242" s="17"/>
    </row>
    <row r="243" ht="14.25" customHeight="1">
      <c r="I243" s="17"/>
    </row>
    <row r="244" ht="14.25" customHeight="1">
      <c r="I244" s="17"/>
    </row>
    <row r="245" ht="14.25" customHeight="1">
      <c r="I245" s="17"/>
    </row>
    <row r="246" ht="14.25" customHeight="1">
      <c r="I246" s="17"/>
    </row>
    <row r="247" ht="14.25" customHeight="1">
      <c r="I247" s="17"/>
    </row>
    <row r="248" ht="14.25" customHeight="1">
      <c r="I248" s="17"/>
    </row>
    <row r="249" ht="14.25" customHeight="1">
      <c r="I249" s="17"/>
    </row>
    <row r="250" ht="14.25" customHeight="1">
      <c r="I250" s="17"/>
    </row>
    <row r="251" ht="14.25" customHeight="1">
      <c r="I251" s="17"/>
    </row>
    <row r="252" ht="14.25" customHeight="1">
      <c r="I252" s="17"/>
    </row>
    <row r="253" ht="14.25" customHeight="1">
      <c r="I253" s="17"/>
    </row>
    <row r="254" ht="14.25" customHeight="1">
      <c r="I254" s="17"/>
    </row>
    <row r="255" ht="14.25" customHeight="1">
      <c r="I255" s="17"/>
    </row>
    <row r="256" ht="14.25" customHeight="1">
      <c r="I256" s="17"/>
    </row>
    <row r="257" ht="14.25" customHeight="1">
      <c r="I257" s="17"/>
    </row>
    <row r="258" ht="14.25" customHeight="1">
      <c r="I258" s="17"/>
    </row>
    <row r="259" ht="14.25" customHeight="1">
      <c r="I259" s="17"/>
    </row>
    <row r="260" ht="14.25" customHeight="1">
      <c r="I260" s="17"/>
    </row>
    <row r="261" ht="14.25" customHeight="1">
      <c r="I261" s="17"/>
    </row>
    <row r="262" ht="14.25" customHeight="1">
      <c r="I262" s="17"/>
    </row>
    <row r="263" ht="14.25" customHeight="1">
      <c r="I263" s="17"/>
    </row>
    <row r="264" ht="14.25" customHeight="1">
      <c r="I264" s="17"/>
    </row>
    <row r="265" ht="14.25" customHeight="1">
      <c r="I265" s="17"/>
    </row>
    <row r="266" ht="14.25" customHeight="1">
      <c r="I266" s="17"/>
    </row>
    <row r="267" ht="14.25" customHeight="1">
      <c r="I267" s="17"/>
    </row>
    <row r="268" ht="14.25" customHeight="1">
      <c r="I268" s="17"/>
    </row>
    <row r="269" ht="14.25" customHeight="1">
      <c r="I269" s="17"/>
    </row>
    <row r="270" ht="14.25" customHeight="1">
      <c r="I270" s="17"/>
    </row>
    <row r="271" ht="14.25" customHeight="1">
      <c r="I271" s="17"/>
    </row>
    <row r="272" ht="14.25" customHeight="1">
      <c r="I272" s="17"/>
    </row>
    <row r="273" ht="14.25" customHeight="1">
      <c r="I273" s="17"/>
    </row>
    <row r="274" ht="14.25" customHeight="1">
      <c r="I274" s="17"/>
    </row>
    <row r="275" ht="14.25" customHeight="1">
      <c r="I275" s="17"/>
    </row>
    <row r="276" ht="14.25" customHeight="1">
      <c r="I276" s="17"/>
    </row>
    <row r="277" ht="14.25" customHeight="1">
      <c r="I277" s="17"/>
    </row>
    <row r="278" ht="14.25" customHeight="1">
      <c r="I278" s="17"/>
    </row>
    <row r="279" ht="14.25" customHeight="1">
      <c r="I279" s="17"/>
    </row>
    <row r="280" ht="14.25" customHeight="1">
      <c r="I280" s="17"/>
    </row>
    <row r="281" ht="14.25" customHeight="1">
      <c r="I281" s="17"/>
    </row>
    <row r="282" ht="14.25" customHeight="1">
      <c r="I282" s="17"/>
    </row>
    <row r="283" ht="14.25" customHeight="1">
      <c r="I283" s="17"/>
    </row>
    <row r="284" ht="14.25" customHeight="1">
      <c r="I284" s="17"/>
    </row>
    <row r="285" ht="14.25" customHeight="1">
      <c r="I285" s="17"/>
    </row>
    <row r="286" ht="14.25" customHeight="1">
      <c r="I286" s="17"/>
    </row>
    <row r="287" ht="14.25" customHeight="1">
      <c r="I287" s="17"/>
    </row>
    <row r="288" ht="14.25" customHeight="1">
      <c r="I288" s="17"/>
    </row>
    <row r="289" ht="14.25" customHeight="1">
      <c r="I289" s="17"/>
    </row>
    <row r="290" ht="14.25" customHeight="1">
      <c r="I290" s="17"/>
    </row>
    <row r="291" ht="14.25" customHeight="1">
      <c r="I291" s="17"/>
    </row>
    <row r="292" ht="14.25" customHeight="1">
      <c r="I292" s="17"/>
    </row>
    <row r="293" ht="14.25" customHeight="1">
      <c r="I293" s="17"/>
    </row>
    <row r="294" ht="14.25" customHeight="1">
      <c r="I294" s="17"/>
    </row>
    <row r="295" ht="14.25" customHeight="1">
      <c r="I295" s="17"/>
    </row>
    <row r="296" ht="14.25" customHeight="1">
      <c r="I296" s="17"/>
    </row>
    <row r="297" ht="14.25" customHeight="1">
      <c r="I297" s="17"/>
    </row>
    <row r="298" ht="14.25" customHeight="1">
      <c r="I298" s="17"/>
    </row>
    <row r="299" ht="14.25" customHeight="1">
      <c r="I299" s="17"/>
    </row>
    <row r="300" ht="14.25" customHeight="1">
      <c r="I300" s="17"/>
    </row>
    <row r="301" ht="14.25" customHeight="1">
      <c r="I301" s="17"/>
    </row>
    <row r="302" ht="14.25" customHeight="1">
      <c r="I302" s="17"/>
    </row>
    <row r="303" ht="14.25" customHeight="1">
      <c r="I303" s="17"/>
    </row>
    <row r="304" ht="14.25" customHeight="1">
      <c r="I304" s="17"/>
    </row>
    <row r="305" ht="14.25" customHeight="1">
      <c r="I305" s="17"/>
    </row>
    <row r="306" ht="14.25" customHeight="1">
      <c r="I306" s="17"/>
    </row>
    <row r="307" ht="14.25" customHeight="1">
      <c r="I307" s="17"/>
    </row>
    <row r="308" ht="14.25" customHeight="1">
      <c r="I308" s="17"/>
    </row>
    <row r="309" ht="14.25" customHeight="1">
      <c r="I309" s="17"/>
    </row>
    <row r="310" ht="14.25" customHeight="1">
      <c r="I310" s="17"/>
    </row>
    <row r="311" ht="14.25" customHeight="1">
      <c r="I311" s="17"/>
    </row>
    <row r="312" ht="14.25" customHeight="1">
      <c r="I312" s="17"/>
    </row>
    <row r="313" ht="14.25" customHeight="1">
      <c r="I313" s="17"/>
    </row>
    <row r="314" ht="14.25" customHeight="1">
      <c r="I314" s="17"/>
    </row>
    <row r="315" ht="14.25" customHeight="1">
      <c r="I315" s="17"/>
    </row>
    <row r="316" ht="14.25" customHeight="1">
      <c r="I316" s="17"/>
    </row>
    <row r="317" ht="14.25" customHeight="1">
      <c r="I317" s="17"/>
    </row>
    <row r="318" ht="14.25" customHeight="1">
      <c r="I318" s="17"/>
    </row>
    <row r="319" ht="14.25" customHeight="1">
      <c r="I319" s="17"/>
    </row>
    <row r="320" ht="14.25" customHeight="1">
      <c r="I320" s="17"/>
    </row>
    <row r="321" ht="14.25" customHeight="1">
      <c r="I321" s="17"/>
    </row>
    <row r="322" ht="14.25" customHeight="1">
      <c r="I322" s="17"/>
    </row>
    <row r="323" ht="14.25" customHeight="1">
      <c r="I323" s="17"/>
    </row>
    <row r="324" ht="14.25" customHeight="1">
      <c r="I324" s="17"/>
    </row>
    <row r="325" ht="14.25" customHeight="1">
      <c r="I325" s="17"/>
    </row>
    <row r="326" ht="14.25" customHeight="1">
      <c r="I326" s="17"/>
    </row>
    <row r="327" ht="14.25" customHeight="1">
      <c r="I327" s="17"/>
    </row>
    <row r="328" ht="14.25" customHeight="1">
      <c r="I328" s="17"/>
    </row>
    <row r="329" ht="14.25" customHeight="1">
      <c r="I329" s="17"/>
    </row>
    <row r="330" ht="14.25" customHeight="1">
      <c r="I330" s="17"/>
    </row>
    <row r="331" ht="14.25" customHeight="1">
      <c r="I331" s="17"/>
    </row>
    <row r="332" ht="14.25" customHeight="1">
      <c r="I332" s="17"/>
    </row>
    <row r="333" ht="14.25" customHeight="1">
      <c r="I333" s="17"/>
    </row>
    <row r="334" ht="14.25" customHeight="1">
      <c r="I334" s="17"/>
    </row>
    <row r="335" ht="14.25" customHeight="1">
      <c r="I335" s="17"/>
    </row>
    <row r="336" ht="14.25" customHeight="1">
      <c r="I336" s="17"/>
    </row>
    <row r="337" ht="14.25" customHeight="1">
      <c r="I337" s="17"/>
    </row>
    <row r="338" ht="14.25" customHeight="1">
      <c r="I338" s="17"/>
    </row>
    <row r="339" ht="14.25" customHeight="1">
      <c r="I339" s="17"/>
    </row>
    <row r="340" ht="14.25" customHeight="1">
      <c r="I340" s="17"/>
    </row>
    <row r="341" ht="14.25" customHeight="1">
      <c r="I341" s="17"/>
    </row>
    <row r="342" ht="14.25" customHeight="1">
      <c r="I342" s="17"/>
    </row>
    <row r="343" ht="14.25" customHeight="1">
      <c r="I343" s="17"/>
    </row>
    <row r="344" ht="14.25" customHeight="1">
      <c r="I344" s="17"/>
    </row>
    <row r="345" ht="14.25" customHeight="1">
      <c r="I345" s="17"/>
    </row>
    <row r="346" ht="14.25" customHeight="1">
      <c r="I346" s="17"/>
    </row>
    <row r="347" ht="14.25" customHeight="1">
      <c r="I347" s="17"/>
    </row>
    <row r="348" ht="14.25" customHeight="1">
      <c r="I348" s="17"/>
    </row>
    <row r="349" ht="14.25" customHeight="1">
      <c r="I349" s="17"/>
    </row>
    <row r="350" ht="14.25" customHeight="1">
      <c r="I350" s="17"/>
    </row>
    <row r="351" ht="14.25" customHeight="1">
      <c r="I351" s="17"/>
    </row>
    <row r="352" ht="14.25" customHeight="1">
      <c r="I352" s="17"/>
    </row>
    <row r="353" ht="14.25" customHeight="1">
      <c r="I353" s="17"/>
    </row>
    <row r="354" ht="14.25" customHeight="1">
      <c r="I354" s="17"/>
    </row>
    <row r="355" ht="14.25" customHeight="1">
      <c r="I355" s="17"/>
    </row>
    <row r="356" ht="14.25" customHeight="1">
      <c r="I356" s="17"/>
    </row>
    <row r="357" ht="14.25" customHeight="1">
      <c r="I357" s="17"/>
    </row>
    <row r="358" ht="14.25" customHeight="1">
      <c r="I358" s="17"/>
    </row>
    <row r="359" ht="14.25" customHeight="1">
      <c r="I359" s="17"/>
    </row>
    <row r="360" ht="14.25" customHeight="1">
      <c r="I360" s="17"/>
    </row>
    <row r="361" ht="14.25" customHeight="1">
      <c r="I361" s="17"/>
    </row>
    <row r="362" ht="14.25" customHeight="1">
      <c r="I362" s="17"/>
    </row>
    <row r="363" ht="14.25" customHeight="1">
      <c r="I363" s="17"/>
    </row>
    <row r="364" ht="14.25" customHeight="1">
      <c r="I364" s="17"/>
    </row>
    <row r="365" ht="14.25" customHeight="1">
      <c r="I365" s="17"/>
    </row>
    <row r="366" ht="14.25" customHeight="1">
      <c r="I366" s="17"/>
    </row>
    <row r="367" ht="14.25" customHeight="1">
      <c r="I367" s="17"/>
    </row>
    <row r="368" ht="14.25" customHeight="1">
      <c r="I368" s="17"/>
    </row>
    <row r="369" ht="14.25" customHeight="1">
      <c r="I369" s="17"/>
    </row>
    <row r="370" ht="14.25" customHeight="1">
      <c r="I370" s="17"/>
    </row>
    <row r="371" ht="14.25" customHeight="1">
      <c r="I371" s="17"/>
    </row>
    <row r="372" ht="14.25" customHeight="1">
      <c r="I372" s="17"/>
    </row>
    <row r="373" ht="14.25" customHeight="1">
      <c r="I373" s="17"/>
    </row>
    <row r="374" ht="14.25" customHeight="1">
      <c r="I374" s="17"/>
    </row>
    <row r="375" ht="14.25" customHeight="1">
      <c r="I375" s="17"/>
    </row>
    <row r="376" ht="14.25" customHeight="1">
      <c r="I376" s="17"/>
    </row>
    <row r="377" ht="14.25" customHeight="1">
      <c r="I377" s="17"/>
    </row>
    <row r="378" ht="14.25" customHeight="1">
      <c r="I378" s="17"/>
    </row>
    <row r="379" ht="14.25" customHeight="1">
      <c r="I379" s="17"/>
    </row>
    <row r="380" ht="14.25" customHeight="1">
      <c r="I380" s="17"/>
    </row>
    <row r="381" ht="14.25" customHeight="1">
      <c r="I381" s="17"/>
    </row>
    <row r="382" ht="14.25" customHeight="1">
      <c r="I382" s="17"/>
    </row>
    <row r="383" ht="14.25" customHeight="1">
      <c r="I383" s="17"/>
    </row>
    <row r="384" ht="14.25" customHeight="1">
      <c r="I384" s="17"/>
    </row>
    <row r="385" ht="14.25" customHeight="1">
      <c r="I385" s="17"/>
    </row>
    <row r="386" ht="14.25" customHeight="1">
      <c r="I386" s="17"/>
    </row>
    <row r="387" ht="14.25" customHeight="1">
      <c r="I387" s="17"/>
    </row>
    <row r="388" ht="14.25" customHeight="1">
      <c r="I388" s="17"/>
    </row>
    <row r="389" ht="14.25" customHeight="1">
      <c r="I389" s="17"/>
    </row>
    <row r="390" ht="14.25" customHeight="1">
      <c r="I390" s="17"/>
    </row>
    <row r="391" ht="14.25" customHeight="1">
      <c r="I391" s="17"/>
    </row>
    <row r="392" ht="14.25" customHeight="1">
      <c r="I392" s="17"/>
    </row>
    <row r="393" ht="14.25" customHeight="1">
      <c r="I393" s="17"/>
    </row>
    <row r="394" ht="14.25" customHeight="1">
      <c r="I394" s="17"/>
    </row>
    <row r="395" ht="14.25" customHeight="1">
      <c r="I395" s="17"/>
    </row>
    <row r="396" ht="14.25" customHeight="1">
      <c r="I396" s="17"/>
    </row>
    <row r="397" ht="14.25" customHeight="1">
      <c r="I397" s="17"/>
    </row>
    <row r="398" ht="14.25" customHeight="1">
      <c r="I398" s="17"/>
    </row>
    <row r="399" ht="14.25" customHeight="1">
      <c r="I399" s="17"/>
    </row>
    <row r="400" ht="14.25" customHeight="1">
      <c r="I400" s="17"/>
    </row>
    <row r="401" ht="14.25" customHeight="1">
      <c r="I401" s="17"/>
    </row>
    <row r="402" ht="14.25" customHeight="1">
      <c r="I402" s="17"/>
    </row>
    <row r="403" ht="14.25" customHeight="1">
      <c r="I403" s="17"/>
    </row>
    <row r="404" ht="14.25" customHeight="1">
      <c r="I404" s="17"/>
    </row>
    <row r="405" ht="14.25" customHeight="1">
      <c r="I405" s="17"/>
    </row>
    <row r="406" ht="14.25" customHeight="1">
      <c r="I406" s="17"/>
    </row>
    <row r="407" ht="14.25" customHeight="1">
      <c r="I407" s="17"/>
    </row>
    <row r="408" ht="14.25" customHeight="1">
      <c r="I408" s="17"/>
    </row>
    <row r="409" ht="14.25" customHeight="1">
      <c r="I409" s="17"/>
    </row>
    <row r="410" ht="14.25" customHeight="1">
      <c r="I410" s="17"/>
    </row>
    <row r="411" ht="14.25" customHeight="1">
      <c r="I411" s="17"/>
    </row>
    <row r="412" ht="14.25" customHeight="1">
      <c r="I412" s="17"/>
    </row>
    <row r="413" ht="14.25" customHeight="1">
      <c r="I413" s="17"/>
    </row>
    <row r="414" ht="14.25" customHeight="1">
      <c r="I414" s="17"/>
    </row>
    <row r="415" ht="14.25" customHeight="1">
      <c r="I415" s="17"/>
    </row>
    <row r="416" ht="14.25" customHeight="1">
      <c r="I416" s="17"/>
    </row>
    <row r="417" ht="14.25" customHeight="1">
      <c r="I417" s="17"/>
    </row>
    <row r="418" ht="14.25" customHeight="1">
      <c r="I418" s="17"/>
    </row>
    <row r="419" ht="14.25" customHeight="1">
      <c r="I419" s="17"/>
    </row>
    <row r="420" ht="14.25" customHeight="1">
      <c r="I420" s="17"/>
    </row>
    <row r="421" ht="14.25" customHeight="1">
      <c r="I421" s="17"/>
    </row>
    <row r="422" ht="14.25" customHeight="1">
      <c r="I422" s="17"/>
    </row>
    <row r="423" ht="14.25" customHeight="1">
      <c r="I423" s="17"/>
    </row>
    <row r="424" ht="14.25" customHeight="1">
      <c r="I424" s="17"/>
    </row>
    <row r="425" ht="14.25" customHeight="1">
      <c r="I425" s="17"/>
    </row>
    <row r="426" ht="14.25" customHeight="1">
      <c r="I426" s="17"/>
    </row>
    <row r="427" ht="14.25" customHeight="1">
      <c r="I427" s="17"/>
    </row>
    <row r="428" ht="14.25" customHeight="1">
      <c r="I428" s="17"/>
    </row>
    <row r="429" ht="14.25" customHeight="1">
      <c r="I429" s="17"/>
    </row>
    <row r="430" ht="14.25" customHeight="1">
      <c r="I430" s="17"/>
    </row>
    <row r="431" ht="14.25" customHeight="1">
      <c r="I431" s="17"/>
    </row>
    <row r="432" ht="14.25" customHeight="1">
      <c r="I432" s="17"/>
    </row>
    <row r="433" ht="14.25" customHeight="1">
      <c r="I433" s="17"/>
    </row>
    <row r="434" ht="14.25" customHeight="1">
      <c r="I434" s="17"/>
    </row>
    <row r="435" ht="14.25" customHeight="1">
      <c r="I435" s="17"/>
    </row>
    <row r="436" ht="14.25" customHeight="1">
      <c r="I436" s="17"/>
    </row>
    <row r="437" ht="14.25" customHeight="1">
      <c r="I437" s="17"/>
    </row>
    <row r="438" ht="14.25" customHeight="1">
      <c r="I438" s="17"/>
    </row>
    <row r="439" ht="14.25" customHeight="1">
      <c r="I439" s="17"/>
    </row>
    <row r="440" ht="14.25" customHeight="1">
      <c r="I440" s="17"/>
    </row>
    <row r="441" ht="14.25" customHeight="1">
      <c r="I441" s="17"/>
    </row>
    <row r="442" ht="14.25" customHeight="1">
      <c r="I442" s="17"/>
    </row>
    <row r="443" ht="14.25" customHeight="1">
      <c r="I443" s="17"/>
    </row>
    <row r="444" ht="14.25" customHeight="1">
      <c r="I444" s="17"/>
    </row>
    <row r="445" ht="14.25" customHeight="1">
      <c r="I445" s="17"/>
    </row>
    <row r="446" ht="14.25" customHeight="1">
      <c r="I446" s="17"/>
    </row>
    <row r="447" ht="14.25" customHeight="1">
      <c r="I447" s="17"/>
    </row>
    <row r="448" ht="14.25" customHeight="1">
      <c r="I448" s="17"/>
    </row>
    <row r="449" ht="14.25" customHeight="1">
      <c r="I449" s="17"/>
    </row>
    <row r="450" ht="14.25" customHeight="1">
      <c r="I450" s="17"/>
    </row>
    <row r="451" ht="14.25" customHeight="1">
      <c r="I451" s="17"/>
    </row>
    <row r="452" ht="14.25" customHeight="1">
      <c r="I452" s="17"/>
    </row>
    <row r="453" ht="14.25" customHeight="1">
      <c r="I453" s="17"/>
    </row>
    <row r="454" ht="14.25" customHeight="1">
      <c r="I454" s="17"/>
    </row>
    <row r="455" ht="14.25" customHeight="1">
      <c r="I455" s="17"/>
    </row>
    <row r="456" ht="14.25" customHeight="1">
      <c r="I456" s="17"/>
    </row>
    <row r="457" ht="14.25" customHeight="1">
      <c r="I457" s="17"/>
    </row>
    <row r="458" ht="14.25" customHeight="1">
      <c r="I458" s="17"/>
    </row>
    <row r="459" ht="14.25" customHeight="1">
      <c r="I459" s="17"/>
    </row>
    <row r="460" ht="14.25" customHeight="1">
      <c r="I460" s="17"/>
    </row>
    <row r="461" ht="14.25" customHeight="1">
      <c r="I461" s="17"/>
    </row>
    <row r="462" ht="14.25" customHeight="1">
      <c r="I462" s="17"/>
    </row>
    <row r="463" ht="14.25" customHeight="1">
      <c r="I463" s="17"/>
    </row>
    <row r="464" ht="14.25" customHeight="1">
      <c r="I464" s="17"/>
    </row>
    <row r="465" ht="14.25" customHeight="1">
      <c r="I465" s="17"/>
    </row>
    <row r="466" ht="14.25" customHeight="1">
      <c r="I466" s="17"/>
    </row>
    <row r="467" ht="14.25" customHeight="1">
      <c r="I467" s="17"/>
    </row>
    <row r="468" ht="14.25" customHeight="1">
      <c r="I468" s="17"/>
    </row>
    <row r="469" ht="14.25" customHeight="1">
      <c r="I469" s="17"/>
    </row>
    <row r="470" ht="14.25" customHeight="1">
      <c r="I470" s="17"/>
    </row>
    <row r="471" ht="14.25" customHeight="1">
      <c r="I471" s="17"/>
    </row>
    <row r="472" ht="14.25" customHeight="1">
      <c r="I472" s="17"/>
    </row>
    <row r="473" ht="14.25" customHeight="1">
      <c r="I473" s="17"/>
    </row>
    <row r="474" ht="14.25" customHeight="1">
      <c r="I474" s="17"/>
    </row>
    <row r="475" ht="14.25" customHeight="1">
      <c r="I475" s="17"/>
    </row>
    <row r="476" ht="14.25" customHeight="1">
      <c r="I476" s="17"/>
    </row>
    <row r="477" ht="14.25" customHeight="1">
      <c r="I477" s="17"/>
    </row>
    <row r="478" ht="14.25" customHeight="1">
      <c r="I478" s="17"/>
    </row>
    <row r="479" ht="14.25" customHeight="1">
      <c r="I479" s="17"/>
    </row>
    <row r="480" ht="14.25" customHeight="1">
      <c r="I480" s="17"/>
    </row>
    <row r="481" ht="14.25" customHeight="1">
      <c r="I481" s="17"/>
    </row>
    <row r="482" ht="14.25" customHeight="1">
      <c r="I482" s="17"/>
    </row>
    <row r="483" ht="14.25" customHeight="1">
      <c r="I483" s="17"/>
    </row>
    <row r="484" ht="14.25" customHeight="1">
      <c r="I484" s="17"/>
    </row>
    <row r="485" ht="14.25" customHeight="1">
      <c r="I485" s="17"/>
    </row>
    <row r="486" ht="14.25" customHeight="1">
      <c r="I486" s="17"/>
    </row>
    <row r="487" ht="14.25" customHeight="1">
      <c r="I487" s="17"/>
    </row>
    <row r="488" ht="14.25" customHeight="1">
      <c r="I488" s="17"/>
    </row>
    <row r="489" ht="14.25" customHeight="1">
      <c r="I489" s="17"/>
    </row>
    <row r="490" ht="14.25" customHeight="1">
      <c r="I490" s="17"/>
    </row>
    <row r="491" ht="14.25" customHeight="1">
      <c r="I491" s="17"/>
    </row>
    <row r="492" ht="14.25" customHeight="1">
      <c r="I492" s="17"/>
    </row>
    <row r="493" ht="14.25" customHeight="1">
      <c r="I493" s="17"/>
    </row>
    <row r="494" ht="14.25" customHeight="1">
      <c r="I494" s="17"/>
    </row>
    <row r="495" ht="14.25" customHeight="1">
      <c r="I495" s="17"/>
    </row>
    <row r="496" ht="14.25" customHeight="1">
      <c r="I496" s="17"/>
    </row>
    <row r="497" ht="14.25" customHeight="1">
      <c r="I497" s="17"/>
    </row>
    <row r="498" ht="14.25" customHeight="1">
      <c r="I498" s="17"/>
    </row>
    <row r="499" ht="14.25" customHeight="1">
      <c r="I499" s="17"/>
    </row>
    <row r="500" ht="14.25" customHeight="1">
      <c r="I500" s="17"/>
    </row>
    <row r="501" ht="14.25" customHeight="1">
      <c r="I501" s="17"/>
    </row>
    <row r="502" ht="14.25" customHeight="1">
      <c r="I502" s="17"/>
    </row>
    <row r="503" ht="14.25" customHeight="1">
      <c r="I503" s="17"/>
    </row>
    <row r="504" ht="14.25" customHeight="1">
      <c r="I504" s="17"/>
    </row>
    <row r="505" ht="14.25" customHeight="1">
      <c r="I505" s="17"/>
    </row>
    <row r="506" ht="14.25" customHeight="1">
      <c r="I506" s="17"/>
    </row>
    <row r="507" ht="14.25" customHeight="1">
      <c r="I507" s="17"/>
    </row>
    <row r="508" ht="14.25" customHeight="1">
      <c r="I508" s="17"/>
    </row>
    <row r="509" ht="14.25" customHeight="1">
      <c r="I509" s="17"/>
    </row>
    <row r="510" ht="14.25" customHeight="1">
      <c r="I510" s="17"/>
    </row>
    <row r="511" ht="14.25" customHeight="1">
      <c r="I511" s="17"/>
    </row>
    <row r="512" ht="14.25" customHeight="1">
      <c r="I512" s="17"/>
    </row>
    <row r="513" ht="14.25" customHeight="1">
      <c r="I513" s="17"/>
    </row>
    <row r="514" ht="14.25" customHeight="1">
      <c r="I514" s="17"/>
    </row>
    <row r="515" ht="14.25" customHeight="1">
      <c r="I515" s="17"/>
    </row>
    <row r="516" ht="14.25" customHeight="1">
      <c r="I516" s="17"/>
    </row>
    <row r="517" ht="14.25" customHeight="1">
      <c r="I517" s="17"/>
    </row>
    <row r="518" ht="14.25" customHeight="1">
      <c r="I518" s="17"/>
    </row>
    <row r="519" ht="14.25" customHeight="1">
      <c r="I519" s="17"/>
    </row>
    <row r="520" ht="14.25" customHeight="1">
      <c r="I520" s="17"/>
    </row>
    <row r="521" ht="14.25" customHeight="1">
      <c r="I521" s="17"/>
    </row>
    <row r="522" ht="14.25" customHeight="1">
      <c r="I522" s="17"/>
    </row>
    <row r="523" ht="14.25" customHeight="1">
      <c r="I523" s="17"/>
    </row>
    <row r="524" ht="14.25" customHeight="1">
      <c r="I524" s="17"/>
    </row>
    <row r="525" ht="14.25" customHeight="1">
      <c r="I525" s="17"/>
    </row>
    <row r="526" ht="14.25" customHeight="1">
      <c r="I526" s="17"/>
    </row>
    <row r="527" ht="14.25" customHeight="1">
      <c r="I527" s="17"/>
    </row>
    <row r="528" ht="14.25" customHeight="1">
      <c r="I528" s="17"/>
    </row>
    <row r="529" ht="14.25" customHeight="1">
      <c r="I529" s="17"/>
    </row>
    <row r="530" ht="14.25" customHeight="1">
      <c r="I530" s="17"/>
    </row>
    <row r="531" ht="14.25" customHeight="1">
      <c r="I531" s="17"/>
    </row>
    <row r="532" ht="14.25" customHeight="1">
      <c r="I532" s="17"/>
    </row>
    <row r="533" ht="14.25" customHeight="1">
      <c r="I533" s="17"/>
    </row>
    <row r="534" ht="14.25" customHeight="1">
      <c r="I534" s="17"/>
    </row>
    <row r="535" ht="14.25" customHeight="1">
      <c r="I535" s="17"/>
    </row>
    <row r="536" ht="14.25" customHeight="1">
      <c r="I536" s="17"/>
    </row>
    <row r="537" ht="14.25" customHeight="1">
      <c r="I537" s="17"/>
    </row>
    <row r="538" ht="14.25" customHeight="1">
      <c r="I538" s="17"/>
    </row>
    <row r="539" ht="14.25" customHeight="1">
      <c r="I539" s="17"/>
    </row>
    <row r="540" ht="14.25" customHeight="1">
      <c r="I540" s="17"/>
    </row>
    <row r="541" ht="14.25" customHeight="1">
      <c r="I541" s="17"/>
    </row>
    <row r="542" ht="14.25" customHeight="1">
      <c r="I542" s="17"/>
    </row>
    <row r="543" ht="14.25" customHeight="1">
      <c r="I543" s="17"/>
    </row>
    <row r="544" ht="14.25" customHeight="1">
      <c r="I544" s="17"/>
    </row>
    <row r="545" ht="14.25" customHeight="1">
      <c r="I545" s="17"/>
    </row>
    <row r="546" ht="14.25" customHeight="1">
      <c r="I546" s="17"/>
    </row>
    <row r="547" ht="14.25" customHeight="1">
      <c r="I547" s="17"/>
    </row>
    <row r="548" ht="14.25" customHeight="1">
      <c r="I548" s="17"/>
    </row>
    <row r="549" ht="14.25" customHeight="1">
      <c r="I549" s="17"/>
    </row>
    <row r="550" ht="14.25" customHeight="1">
      <c r="I550" s="17"/>
    </row>
    <row r="551" ht="14.25" customHeight="1">
      <c r="I551" s="17"/>
    </row>
    <row r="552" ht="14.25" customHeight="1">
      <c r="I552" s="17"/>
    </row>
    <row r="553" ht="14.25" customHeight="1">
      <c r="I553" s="17"/>
    </row>
    <row r="554" ht="14.25" customHeight="1">
      <c r="I554" s="17"/>
    </row>
    <row r="555" ht="14.25" customHeight="1">
      <c r="I555" s="17"/>
    </row>
    <row r="556" ht="14.25" customHeight="1">
      <c r="I556" s="17"/>
    </row>
    <row r="557" ht="14.25" customHeight="1">
      <c r="I557" s="17"/>
    </row>
    <row r="558" ht="14.25" customHeight="1">
      <c r="I558" s="17"/>
    </row>
    <row r="559" ht="14.25" customHeight="1">
      <c r="I559" s="17"/>
    </row>
    <row r="560" ht="14.25" customHeight="1">
      <c r="I560" s="17"/>
    </row>
    <row r="561" ht="14.25" customHeight="1">
      <c r="I561" s="17"/>
    </row>
    <row r="562" ht="14.25" customHeight="1">
      <c r="I562" s="17"/>
    </row>
    <row r="563" ht="14.25" customHeight="1">
      <c r="I563" s="17"/>
    </row>
    <row r="564" ht="14.25" customHeight="1">
      <c r="I564" s="17"/>
    </row>
    <row r="565" ht="14.25" customHeight="1">
      <c r="I565" s="17"/>
    </row>
    <row r="566" ht="14.25" customHeight="1">
      <c r="I566" s="17"/>
    </row>
    <row r="567" ht="14.25" customHeight="1">
      <c r="I567" s="17"/>
    </row>
    <row r="568" ht="14.25" customHeight="1">
      <c r="I568" s="17"/>
    </row>
    <row r="569" ht="14.25" customHeight="1">
      <c r="I569" s="17"/>
    </row>
    <row r="570" ht="14.25" customHeight="1">
      <c r="I570" s="17"/>
    </row>
    <row r="571" ht="14.25" customHeight="1">
      <c r="I571" s="17"/>
    </row>
    <row r="572" ht="14.25" customHeight="1">
      <c r="I572" s="17"/>
    </row>
    <row r="573" ht="14.25" customHeight="1">
      <c r="I573" s="17"/>
    </row>
    <row r="574" ht="14.25" customHeight="1">
      <c r="I574" s="17"/>
    </row>
    <row r="575" ht="14.25" customHeight="1">
      <c r="I575" s="17"/>
    </row>
    <row r="576" ht="14.25" customHeight="1">
      <c r="I576" s="17"/>
    </row>
    <row r="577" ht="14.25" customHeight="1">
      <c r="I577" s="17"/>
    </row>
    <row r="578" ht="14.25" customHeight="1">
      <c r="I578" s="17"/>
    </row>
    <row r="579" ht="14.25" customHeight="1">
      <c r="I579" s="17"/>
    </row>
    <row r="580" ht="14.25" customHeight="1">
      <c r="I580" s="17"/>
    </row>
    <row r="581" ht="14.25" customHeight="1">
      <c r="I581" s="17"/>
    </row>
    <row r="582" ht="14.25" customHeight="1">
      <c r="I582" s="17"/>
    </row>
    <row r="583" ht="14.25" customHeight="1">
      <c r="I583" s="17"/>
    </row>
    <row r="584" ht="14.25" customHeight="1">
      <c r="I584" s="17"/>
    </row>
    <row r="585" ht="14.25" customHeight="1">
      <c r="I585" s="17"/>
    </row>
    <row r="586" ht="14.25" customHeight="1">
      <c r="I586" s="17"/>
    </row>
    <row r="587" ht="14.25" customHeight="1">
      <c r="I587" s="17"/>
    </row>
    <row r="588" ht="14.25" customHeight="1">
      <c r="I588" s="17"/>
    </row>
    <row r="589" ht="14.25" customHeight="1">
      <c r="I589" s="17"/>
    </row>
    <row r="590" ht="14.25" customHeight="1">
      <c r="I590" s="17"/>
    </row>
    <row r="591" ht="14.25" customHeight="1">
      <c r="I591" s="17"/>
    </row>
    <row r="592" ht="14.25" customHeight="1">
      <c r="I592" s="17"/>
    </row>
    <row r="593" ht="14.25" customHeight="1">
      <c r="I593" s="17"/>
    </row>
    <row r="594" ht="14.25" customHeight="1">
      <c r="I594" s="17"/>
    </row>
    <row r="595" ht="14.25" customHeight="1">
      <c r="I595" s="17"/>
    </row>
    <row r="596" ht="14.25" customHeight="1">
      <c r="I596" s="17"/>
    </row>
    <row r="597" ht="14.25" customHeight="1">
      <c r="I597" s="17"/>
    </row>
    <row r="598" ht="14.25" customHeight="1">
      <c r="I598" s="17"/>
    </row>
    <row r="599" ht="14.25" customHeight="1">
      <c r="I599" s="17"/>
    </row>
    <row r="600" ht="14.25" customHeight="1">
      <c r="I600" s="17"/>
    </row>
    <row r="601" ht="14.25" customHeight="1">
      <c r="I601" s="17"/>
    </row>
    <row r="602" ht="14.25" customHeight="1">
      <c r="I602" s="17"/>
    </row>
    <row r="603" ht="14.25" customHeight="1">
      <c r="I603" s="17"/>
    </row>
    <row r="604" ht="14.25" customHeight="1">
      <c r="I604" s="17"/>
    </row>
    <row r="605" ht="14.25" customHeight="1">
      <c r="I605" s="17"/>
    </row>
    <row r="606" ht="14.25" customHeight="1">
      <c r="I606" s="17"/>
    </row>
    <row r="607" ht="14.25" customHeight="1">
      <c r="I607" s="17"/>
    </row>
    <row r="608" ht="14.25" customHeight="1">
      <c r="I608" s="17"/>
    </row>
    <row r="609" ht="14.25" customHeight="1">
      <c r="I609" s="17"/>
    </row>
    <row r="610" ht="14.25" customHeight="1">
      <c r="I610" s="17"/>
    </row>
    <row r="611" ht="14.25" customHeight="1">
      <c r="I611" s="17"/>
    </row>
    <row r="612" ht="14.25" customHeight="1">
      <c r="I612" s="17"/>
    </row>
    <row r="613" ht="14.25" customHeight="1">
      <c r="I613" s="17"/>
    </row>
    <row r="614" ht="14.25" customHeight="1">
      <c r="I614" s="17"/>
    </row>
    <row r="615" ht="14.25" customHeight="1">
      <c r="I615" s="17"/>
    </row>
    <row r="616" ht="14.25" customHeight="1">
      <c r="I616" s="17"/>
    </row>
    <row r="617" ht="14.25" customHeight="1">
      <c r="I617" s="17"/>
    </row>
    <row r="618" ht="14.25" customHeight="1">
      <c r="I618" s="17"/>
    </row>
    <row r="619" ht="14.25" customHeight="1">
      <c r="I619" s="17"/>
    </row>
    <row r="620" ht="14.25" customHeight="1">
      <c r="I620" s="17"/>
    </row>
    <row r="621" ht="14.25" customHeight="1">
      <c r="I621" s="17"/>
    </row>
    <row r="622" ht="14.25" customHeight="1">
      <c r="I622" s="17"/>
    </row>
    <row r="623" ht="14.25" customHeight="1">
      <c r="I623" s="17"/>
    </row>
    <row r="624" ht="14.25" customHeight="1">
      <c r="I624" s="17"/>
    </row>
    <row r="625" ht="14.25" customHeight="1">
      <c r="I625" s="17"/>
    </row>
    <row r="626" ht="14.25" customHeight="1">
      <c r="I626" s="17"/>
    </row>
    <row r="627" ht="14.25" customHeight="1">
      <c r="I627" s="17"/>
    </row>
    <row r="628" ht="14.25" customHeight="1">
      <c r="I628" s="17"/>
    </row>
    <row r="629" ht="14.25" customHeight="1">
      <c r="I629" s="17"/>
    </row>
    <row r="630" ht="14.25" customHeight="1">
      <c r="I630" s="17"/>
    </row>
    <row r="631" ht="14.25" customHeight="1">
      <c r="I631" s="17"/>
    </row>
    <row r="632" ht="14.25" customHeight="1">
      <c r="I632" s="17"/>
    </row>
    <row r="633" ht="14.25" customHeight="1">
      <c r="I633" s="17"/>
    </row>
    <row r="634" ht="14.25" customHeight="1">
      <c r="I634" s="17"/>
    </row>
    <row r="635" ht="14.25" customHeight="1">
      <c r="I635" s="17"/>
    </row>
    <row r="636" ht="14.25" customHeight="1">
      <c r="I636" s="17"/>
    </row>
    <row r="637" ht="14.25" customHeight="1">
      <c r="I637" s="17"/>
    </row>
    <row r="638" ht="14.25" customHeight="1">
      <c r="I638" s="17"/>
    </row>
    <row r="639" ht="14.25" customHeight="1">
      <c r="I639" s="17"/>
    </row>
    <row r="640" ht="14.25" customHeight="1">
      <c r="I640" s="17"/>
    </row>
    <row r="641" ht="14.25" customHeight="1">
      <c r="I641" s="17"/>
    </row>
    <row r="642" ht="14.25" customHeight="1">
      <c r="I642" s="17"/>
    </row>
    <row r="643" ht="14.25" customHeight="1">
      <c r="I643" s="17"/>
    </row>
    <row r="644" ht="14.25" customHeight="1">
      <c r="I644" s="17"/>
    </row>
    <row r="645" ht="14.25" customHeight="1">
      <c r="I645" s="17"/>
    </row>
    <row r="646" ht="14.25" customHeight="1">
      <c r="I646" s="17"/>
    </row>
    <row r="647" ht="14.25" customHeight="1">
      <c r="I647" s="17"/>
    </row>
    <row r="648" ht="14.25" customHeight="1">
      <c r="I648" s="17"/>
    </row>
    <row r="649" ht="14.25" customHeight="1">
      <c r="I649" s="17"/>
    </row>
    <row r="650" ht="14.25" customHeight="1">
      <c r="I650" s="17"/>
    </row>
    <row r="651" ht="14.25" customHeight="1">
      <c r="I651" s="17"/>
    </row>
    <row r="652" ht="14.25" customHeight="1">
      <c r="I652" s="17"/>
    </row>
    <row r="653" ht="14.25" customHeight="1">
      <c r="I653" s="17"/>
    </row>
    <row r="654" ht="14.25" customHeight="1">
      <c r="I654" s="17"/>
    </row>
    <row r="655" ht="14.25" customHeight="1">
      <c r="I655" s="17"/>
    </row>
    <row r="656" ht="14.25" customHeight="1">
      <c r="I656" s="17"/>
    </row>
    <row r="657" ht="14.25" customHeight="1">
      <c r="I657" s="17"/>
    </row>
    <row r="658" ht="14.25" customHeight="1">
      <c r="I658" s="17"/>
    </row>
    <row r="659" ht="14.25" customHeight="1">
      <c r="I659" s="17"/>
    </row>
    <row r="660" ht="14.25" customHeight="1">
      <c r="I660" s="17"/>
    </row>
    <row r="661" ht="14.25" customHeight="1">
      <c r="I661" s="17"/>
    </row>
    <row r="662" ht="14.25" customHeight="1">
      <c r="I662" s="17"/>
    </row>
    <row r="663" ht="14.25" customHeight="1">
      <c r="I663" s="17"/>
    </row>
    <row r="664" ht="14.25" customHeight="1">
      <c r="I664" s="17"/>
    </row>
    <row r="665" ht="14.25" customHeight="1">
      <c r="I665" s="17"/>
    </row>
    <row r="666" ht="14.25" customHeight="1">
      <c r="I666" s="17"/>
    </row>
    <row r="667" ht="14.25" customHeight="1">
      <c r="I667" s="17"/>
    </row>
    <row r="668" ht="14.25" customHeight="1">
      <c r="I668" s="17"/>
    </row>
    <row r="669" ht="14.25" customHeight="1">
      <c r="I669" s="17"/>
    </row>
    <row r="670" ht="14.25" customHeight="1">
      <c r="I670" s="17"/>
    </row>
    <row r="671" ht="14.25" customHeight="1">
      <c r="I671" s="17"/>
    </row>
    <row r="672" ht="14.25" customHeight="1">
      <c r="I672" s="17"/>
    </row>
    <row r="673" ht="14.25" customHeight="1">
      <c r="I673" s="17"/>
    </row>
    <row r="674" ht="14.25" customHeight="1">
      <c r="I674" s="17"/>
    </row>
    <row r="675" ht="14.25" customHeight="1">
      <c r="I675" s="17"/>
    </row>
    <row r="676" ht="14.25" customHeight="1">
      <c r="I676" s="17"/>
    </row>
    <row r="677" ht="14.25" customHeight="1">
      <c r="I677" s="17"/>
    </row>
    <row r="678" ht="14.25" customHeight="1">
      <c r="I678" s="17"/>
    </row>
    <row r="679" ht="14.25" customHeight="1">
      <c r="I679" s="17"/>
    </row>
    <row r="680" ht="14.25" customHeight="1">
      <c r="I680" s="17"/>
    </row>
    <row r="681" ht="14.25" customHeight="1">
      <c r="I681" s="17"/>
    </row>
    <row r="682" ht="14.25" customHeight="1">
      <c r="I682" s="17"/>
    </row>
    <row r="683" ht="14.25" customHeight="1">
      <c r="I683" s="17"/>
    </row>
    <row r="684" ht="14.25" customHeight="1">
      <c r="I684" s="17"/>
    </row>
    <row r="685" ht="14.25" customHeight="1">
      <c r="I685" s="17"/>
    </row>
    <row r="686" ht="14.25" customHeight="1">
      <c r="I686" s="17"/>
    </row>
    <row r="687" ht="14.25" customHeight="1">
      <c r="I687" s="17"/>
    </row>
    <row r="688" ht="14.25" customHeight="1">
      <c r="I688" s="17"/>
    </row>
    <row r="689" ht="14.25" customHeight="1">
      <c r="I689" s="17"/>
    </row>
    <row r="690" ht="14.25" customHeight="1">
      <c r="I690" s="17"/>
    </row>
    <row r="691" ht="14.25" customHeight="1">
      <c r="I691" s="17"/>
    </row>
    <row r="692" ht="14.25" customHeight="1">
      <c r="I692" s="17"/>
    </row>
    <row r="693" ht="14.25" customHeight="1">
      <c r="I693" s="17"/>
    </row>
    <row r="694" ht="14.25" customHeight="1">
      <c r="I694" s="17"/>
    </row>
    <row r="695" ht="14.25" customHeight="1">
      <c r="I695" s="17"/>
    </row>
    <row r="696" ht="14.25" customHeight="1">
      <c r="I696" s="17"/>
    </row>
    <row r="697" ht="14.25" customHeight="1">
      <c r="I697" s="17"/>
    </row>
    <row r="698" ht="14.25" customHeight="1">
      <c r="I698" s="17"/>
    </row>
    <row r="699" ht="14.25" customHeight="1">
      <c r="I699" s="17"/>
    </row>
    <row r="700" ht="14.25" customHeight="1">
      <c r="I700" s="17"/>
    </row>
    <row r="701" ht="14.25" customHeight="1">
      <c r="I701" s="17"/>
    </row>
    <row r="702" ht="14.25" customHeight="1">
      <c r="I702" s="17"/>
    </row>
    <row r="703" ht="14.25" customHeight="1">
      <c r="I703" s="17"/>
    </row>
    <row r="704" ht="14.25" customHeight="1">
      <c r="I704" s="17"/>
    </row>
    <row r="705" ht="14.25" customHeight="1">
      <c r="I705" s="17"/>
    </row>
    <row r="706" ht="14.25" customHeight="1">
      <c r="I706" s="17"/>
    </row>
    <row r="707" ht="14.25" customHeight="1">
      <c r="I707" s="17"/>
    </row>
    <row r="708" ht="14.25" customHeight="1">
      <c r="I708" s="17"/>
    </row>
    <row r="709" ht="14.25" customHeight="1">
      <c r="I709" s="17"/>
    </row>
    <row r="710" ht="14.25" customHeight="1">
      <c r="I710" s="17"/>
    </row>
    <row r="711" ht="14.25" customHeight="1">
      <c r="I711" s="17"/>
    </row>
    <row r="712" ht="14.25" customHeight="1">
      <c r="I712" s="17"/>
    </row>
    <row r="713" ht="14.25" customHeight="1">
      <c r="I713" s="17"/>
    </row>
    <row r="714" ht="14.25" customHeight="1">
      <c r="I714" s="17"/>
    </row>
    <row r="715" ht="14.25" customHeight="1">
      <c r="I715" s="17"/>
    </row>
    <row r="716" ht="14.25" customHeight="1">
      <c r="I716" s="17"/>
    </row>
    <row r="717" ht="14.25" customHeight="1">
      <c r="I717" s="17"/>
    </row>
    <row r="718" ht="14.25" customHeight="1">
      <c r="I718" s="17"/>
    </row>
    <row r="719" ht="14.25" customHeight="1">
      <c r="I719" s="17"/>
    </row>
    <row r="720" ht="14.25" customHeight="1">
      <c r="I720" s="17"/>
    </row>
    <row r="721" ht="14.25" customHeight="1">
      <c r="I721" s="17"/>
    </row>
    <row r="722" ht="14.25" customHeight="1">
      <c r="I722" s="17"/>
    </row>
    <row r="723" ht="14.25" customHeight="1">
      <c r="I723" s="17"/>
    </row>
    <row r="724" ht="14.25" customHeight="1">
      <c r="I724" s="17"/>
    </row>
    <row r="725" ht="14.25" customHeight="1">
      <c r="I725" s="17"/>
    </row>
    <row r="726" ht="14.25" customHeight="1">
      <c r="I726" s="17"/>
    </row>
    <row r="727" ht="14.25" customHeight="1">
      <c r="I727" s="17"/>
    </row>
    <row r="728" ht="14.25" customHeight="1">
      <c r="I728" s="17"/>
    </row>
    <row r="729" ht="14.25" customHeight="1">
      <c r="I729" s="17"/>
    </row>
    <row r="730" ht="14.25" customHeight="1">
      <c r="I730" s="17"/>
    </row>
    <row r="731" ht="14.25" customHeight="1">
      <c r="I731" s="17"/>
    </row>
    <row r="732" ht="14.25" customHeight="1">
      <c r="I732" s="17"/>
    </row>
    <row r="733" ht="14.25" customHeight="1">
      <c r="I733" s="17"/>
    </row>
    <row r="734" ht="14.25" customHeight="1">
      <c r="I734" s="17"/>
    </row>
    <row r="735" ht="14.25" customHeight="1">
      <c r="I735" s="17"/>
    </row>
    <row r="736" ht="14.25" customHeight="1">
      <c r="I736" s="17"/>
    </row>
    <row r="737" ht="14.25" customHeight="1">
      <c r="I737" s="17"/>
    </row>
    <row r="738" ht="14.25" customHeight="1">
      <c r="I738" s="17"/>
    </row>
    <row r="739" ht="14.25" customHeight="1">
      <c r="I739" s="17"/>
    </row>
    <row r="740" ht="14.25" customHeight="1">
      <c r="I740" s="17"/>
    </row>
    <row r="741" ht="14.25" customHeight="1">
      <c r="I741" s="17"/>
    </row>
    <row r="742" ht="14.25" customHeight="1">
      <c r="I742" s="17"/>
    </row>
    <row r="743" ht="14.25" customHeight="1">
      <c r="I743" s="17"/>
    </row>
    <row r="744" ht="14.25" customHeight="1">
      <c r="I744" s="17"/>
    </row>
    <row r="745" ht="14.25" customHeight="1">
      <c r="I745" s="17"/>
    </row>
    <row r="746" ht="14.25" customHeight="1">
      <c r="I746" s="17"/>
    </row>
    <row r="747" ht="14.25" customHeight="1">
      <c r="I747" s="17"/>
    </row>
    <row r="748" ht="14.25" customHeight="1">
      <c r="I748" s="17"/>
    </row>
    <row r="749" ht="14.25" customHeight="1">
      <c r="I749" s="17"/>
    </row>
    <row r="750" ht="14.25" customHeight="1">
      <c r="I750" s="17"/>
    </row>
    <row r="751" ht="14.25" customHeight="1">
      <c r="I751" s="17"/>
    </row>
    <row r="752" ht="14.25" customHeight="1">
      <c r="I752" s="17"/>
    </row>
    <row r="753" ht="14.25" customHeight="1">
      <c r="I753" s="17"/>
    </row>
    <row r="754" ht="14.25" customHeight="1">
      <c r="I754" s="17"/>
    </row>
    <row r="755" ht="14.25" customHeight="1">
      <c r="I755" s="17"/>
    </row>
    <row r="756" ht="14.25" customHeight="1">
      <c r="I756" s="17"/>
    </row>
    <row r="757" ht="14.25" customHeight="1">
      <c r="I757" s="17"/>
    </row>
    <row r="758" ht="14.25" customHeight="1">
      <c r="I758" s="17"/>
    </row>
    <row r="759" ht="14.25" customHeight="1">
      <c r="I759" s="17"/>
    </row>
    <row r="760" ht="14.25" customHeight="1">
      <c r="I760" s="17"/>
    </row>
    <row r="761" ht="14.25" customHeight="1">
      <c r="I761" s="17"/>
    </row>
    <row r="762" ht="14.25" customHeight="1">
      <c r="I762" s="17"/>
    </row>
    <row r="763" ht="14.25" customHeight="1">
      <c r="I763" s="17"/>
    </row>
    <row r="764" ht="14.25" customHeight="1">
      <c r="I764" s="17"/>
    </row>
    <row r="765" ht="14.25" customHeight="1">
      <c r="I765" s="17"/>
    </row>
    <row r="766" ht="14.25" customHeight="1">
      <c r="I766" s="17"/>
    </row>
    <row r="767" ht="14.25" customHeight="1">
      <c r="I767" s="17"/>
    </row>
    <row r="768" ht="14.25" customHeight="1">
      <c r="I768" s="17"/>
    </row>
    <row r="769" ht="14.25" customHeight="1">
      <c r="I769" s="17"/>
    </row>
    <row r="770" ht="14.25" customHeight="1">
      <c r="I770" s="17"/>
    </row>
    <row r="771" ht="14.25" customHeight="1">
      <c r="I771" s="17"/>
    </row>
    <row r="772" ht="14.25" customHeight="1">
      <c r="I772" s="17"/>
    </row>
    <row r="773" ht="14.25" customHeight="1">
      <c r="I773" s="17"/>
    </row>
    <row r="774" ht="14.25" customHeight="1">
      <c r="I774" s="17"/>
    </row>
    <row r="775" ht="14.25" customHeight="1">
      <c r="I775" s="17"/>
    </row>
    <row r="776" ht="14.25" customHeight="1">
      <c r="I776" s="17"/>
    </row>
    <row r="777" ht="14.25" customHeight="1">
      <c r="I777" s="17"/>
    </row>
    <row r="778" ht="14.25" customHeight="1">
      <c r="I778" s="17"/>
    </row>
    <row r="779" ht="14.25" customHeight="1">
      <c r="I779" s="17"/>
    </row>
    <row r="780" ht="14.25" customHeight="1">
      <c r="I780" s="17"/>
    </row>
    <row r="781" ht="14.25" customHeight="1">
      <c r="I781" s="17"/>
    </row>
    <row r="782" ht="14.25" customHeight="1">
      <c r="I782" s="17"/>
    </row>
    <row r="783" ht="14.25" customHeight="1">
      <c r="I783" s="17"/>
    </row>
    <row r="784" ht="14.25" customHeight="1">
      <c r="I784" s="17"/>
    </row>
    <row r="785" ht="14.25" customHeight="1">
      <c r="I785" s="17"/>
    </row>
    <row r="786" ht="14.25" customHeight="1">
      <c r="I786" s="17"/>
    </row>
    <row r="787" ht="14.25" customHeight="1">
      <c r="I787" s="17"/>
    </row>
    <row r="788" ht="14.25" customHeight="1">
      <c r="I788" s="17"/>
    </row>
    <row r="789" ht="14.25" customHeight="1">
      <c r="I789" s="17"/>
    </row>
    <row r="790" ht="14.25" customHeight="1">
      <c r="I790" s="17"/>
    </row>
    <row r="791" ht="14.25" customHeight="1">
      <c r="I791" s="17"/>
    </row>
    <row r="792" ht="14.25" customHeight="1">
      <c r="I792" s="17"/>
    </row>
    <row r="793" ht="14.25" customHeight="1">
      <c r="I793" s="17"/>
    </row>
    <row r="794" ht="14.25" customHeight="1">
      <c r="I794" s="17"/>
    </row>
    <row r="795" ht="14.25" customHeight="1">
      <c r="I795" s="17"/>
    </row>
    <row r="796" ht="14.25" customHeight="1">
      <c r="I796" s="17"/>
    </row>
    <row r="797" ht="14.25" customHeight="1">
      <c r="I797" s="17"/>
    </row>
    <row r="798" ht="14.25" customHeight="1">
      <c r="I798" s="17"/>
    </row>
    <row r="799" ht="14.25" customHeight="1">
      <c r="I799" s="17"/>
    </row>
    <row r="800" ht="14.25" customHeight="1">
      <c r="I800" s="17"/>
    </row>
    <row r="801" ht="14.25" customHeight="1">
      <c r="I801" s="17"/>
    </row>
    <row r="802" ht="14.25" customHeight="1">
      <c r="I802" s="17"/>
    </row>
    <row r="803" ht="14.25" customHeight="1">
      <c r="I803" s="17"/>
    </row>
    <row r="804" ht="14.25" customHeight="1">
      <c r="I804" s="17"/>
    </row>
    <row r="805" ht="14.25" customHeight="1">
      <c r="I805" s="17"/>
    </row>
    <row r="806" ht="14.25" customHeight="1">
      <c r="I806" s="17"/>
    </row>
    <row r="807" ht="14.25" customHeight="1">
      <c r="I807" s="17"/>
    </row>
    <row r="808" ht="14.25" customHeight="1">
      <c r="I808" s="17"/>
    </row>
    <row r="809" ht="14.25" customHeight="1">
      <c r="I809" s="17"/>
    </row>
    <row r="810" ht="14.25" customHeight="1">
      <c r="I810" s="17"/>
    </row>
    <row r="811" ht="14.25" customHeight="1">
      <c r="I811" s="17"/>
    </row>
    <row r="812" ht="14.25" customHeight="1">
      <c r="I812" s="17"/>
    </row>
    <row r="813" ht="14.25" customHeight="1">
      <c r="I813" s="17"/>
    </row>
    <row r="814" ht="14.25" customHeight="1">
      <c r="I814" s="17"/>
    </row>
    <row r="815" ht="14.25" customHeight="1">
      <c r="I815" s="17"/>
    </row>
    <row r="816" ht="14.25" customHeight="1">
      <c r="I816" s="17"/>
    </row>
    <row r="817" ht="14.25" customHeight="1">
      <c r="I817" s="17"/>
    </row>
    <row r="818" ht="14.25" customHeight="1">
      <c r="I818" s="17"/>
    </row>
    <row r="819" ht="14.25" customHeight="1">
      <c r="I819" s="17"/>
    </row>
    <row r="820" ht="14.25" customHeight="1">
      <c r="I820" s="17"/>
    </row>
    <row r="821" ht="14.25" customHeight="1">
      <c r="I821" s="17"/>
    </row>
    <row r="822" ht="14.25" customHeight="1">
      <c r="I822" s="17"/>
    </row>
    <row r="823" ht="14.25" customHeight="1">
      <c r="I823" s="17"/>
    </row>
    <row r="824" ht="14.25" customHeight="1">
      <c r="I824" s="17"/>
    </row>
    <row r="825" ht="14.25" customHeight="1">
      <c r="I825" s="17"/>
    </row>
    <row r="826" ht="14.25" customHeight="1">
      <c r="I826" s="17"/>
    </row>
    <row r="827" ht="14.25" customHeight="1">
      <c r="I827" s="17"/>
    </row>
    <row r="828" ht="14.25" customHeight="1">
      <c r="I828" s="17"/>
    </row>
    <row r="829" ht="14.25" customHeight="1">
      <c r="I829" s="17"/>
    </row>
    <row r="830" ht="14.25" customHeight="1">
      <c r="I830" s="17"/>
    </row>
    <row r="831" ht="14.25" customHeight="1">
      <c r="I831" s="17"/>
    </row>
    <row r="832" ht="14.25" customHeight="1">
      <c r="I832" s="17"/>
    </row>
    <row r="833" ht="14.25" customHeight="1">
      <c r="I833" s="17"/>
    </row>
    <row r="834" ht="14.25" customHeight="1">
      <c r="I834" s="17"/>
    </row>
    <row r="835" ht="14.25" customHeight="1">
      <c r="I835" s="17"/>
    </row>
    <row r="836" ht="14.25" customHeight="1">
      <c r="I836" s="17"/>
    </row>
    <row r="837" ht="14.25" customHeight="1">
      <c r="I837" s="17"/>
    </row>
    <row r="838" ht="14.25" customHeight="1">
      <c r="I838" s="17"/>
    </row>
    <row r="839" ht="14.25" customHeight="1">
      <c r="I839" s="17"/>
    </row>
    <row r="840" ht="14.25" customHeight="1">
      <c r="I840" s="17"/>
    </row>
    <row r="841" ht="14.25" customHeight="1">
      <c r="I841" s="17"/>
    </row>
    <row r="842" ht="14.25" customHeight="1">
      <c r="I842" s="17"/>
    </row>
    <row r="843" ht="14.25" customHeight="1">
      <c r="I843" s="17"/>
    </row>
    <row r="844" ht="14.25" customHeight="1">
      <c r="I844" s="17"/>
    </row>
    <row r="845" ht="14.25" customHeight="1">
      <c r="I845" s="17"/>
    </row>
    <row r="846" ht="14.25" customHeight="1">
      <c r="I846" s="17"/>
    </row>
    <row r="847" ht="14.25" customHeight="1">
      <c r="I847" s="17"/>
    </row>
    <row r="848" ht="14.25" customHeight="1">
      <c r="I848" s="17"/>
    </row>
    <row r="849" ht="14.25" customHeight="1">
      <c r="I849" s="17"/>
    </row>
    <row r="850" ht="14.25" customHeight="1">
      <c r="I850" s="17"/>
    </row>
    <row r="851" ht="14.25" customHeight="1">
      <c r="I851" s="17"/>
    </row>
    <row r="852" ht="14.25" customHeight="1">
      <c r="I852" s="17"/>
    </row>
    <row r="853" ht="14.25" customHeight="1">
      <c r="I853" s="17"/>
    </row>
    <row r="854" ht="14.25" customHeight="1">
      <c r="I854" s="17"/>
    </row>
    <row r="855" ht="14.25" customHeight="1">
      <c r="I855" s="17"/>
    </row>
    <row r="856" ht="14.25" customHeight="1">
      <c r="I856" s="17"/>
    </row>
    <row r="857" ht="14.25" customHeight="1">
      <c r="I857" s="17"/>
    </row>
    <row r="858" ht="14.25" customHeight="1">
      <c r="I858" s="17"/>
    </row>
    <row r="859" ht="14.25" customHeight="1">
      <c r="I859" s="17"/>
    </row>
    <row r="860" ht="14.25" customHeight="1">
      <c r="I860" s="17"/>
    </row>
    <row r="861" ht="14.25" customHeight="1">
      <c r="I861" s="17"/>
    </row>
    <row r="862" ht="14.25" customHeight="1">
      <c r="I862" s="17"/>
    </row>
    <row r="863" ht="14.25" customHeight="1">
      <c r="I863" s="17"/>
    </row>
    <row r="864" ht="14.25" customHeight="1">
      <c r="I864" s="17"/>
    </row>
    <row r="865" ht="14.25" customHeight="1">
      <c r="I865" s="17"/>
    </row>
    <row r="866" ht="14.25" customHeight="1">
      <c r="I866" s="17"/>
    </row>
    <row r="867" ht="14.25" customHeight="1">
      <c r="I867" s="17"/>
    </row>
    <row r="868" ht="14.25" customHeight="1">
      <c r="I868" s="17"/>
    </row>
    <row r="869" ht="14.25" customHeight="1">
      <c r="I869" s="17"/>
    </row>
    <row r="870" ht="14.25" customHeight="1">
      <c r="I870" s="17"/>
    </row>
    <row r="871" ht="14.25" customHeight="1">
      <c r="I871" s="17"/>
    </row>
    <row r="872" ht="14.25" customHeight="1">
      <c r="I872" s="17"/>
    </row>
    <row r="873" ht="14.25" customHeight="1">
      <c r="I873" s="17"/>
    </row>
    <row r="874" ht="14.25" customHeight="1">
      <c r="I874" s="17"/>
    </row>
    <row r="875" ht="14.25" customHeight="1">
      <c r="I875" s="17"/>
    </row>
    <row r="876" ht="14.25" customHeight="1">
      <c r="I876" s="17"/>
    </row>
    <row r="877" ht="14.25" customHeight="1">
      <c r="I877" s="17"/>
    </row>
    <row r="878" ht="14.25" customHeight="1">
      <c r="I878" s="17"/>
    </row>
    <row r="879" ht="14.25" customHeight="1">
      <c r="I879" s="17"/>
    </row>
    <row r="880" ht="14.25" customHeight="1">
      <c r="I880" s="17"/>
    </row>
    <row r="881" ht="14.25" customHeight="1">
      <c r="I881" s="17"/>
    </row>
    <row r="882" ht="14.25" customHeight="1">
      <c r="I882" s="17"/>
    </row>
    <row r="883" ht="14.25" customHeight="1">
      <c r="I883" s="17"/>
    </row>
    <row r="884" ht="14.25" customHeight="1">
      <c r="I884" s="17"/>
    </row>
    <row r="885" ht="14.25" customHeight="1">
      <c r="I885" s="17"/>
    </row>
    <row r="886" ht="14.25" customHeight="1">
      <c r="I886" s="17"/>
    </row>
    <row r="887" ht="14.25" customHeight="1">
      <c r="I887" s="17"/>
    </row>
    <row r="888" ht="14.25" customHeight="1">
      <c r="I888" s="17"/>
    </row>
    <row r="889" ht="14.25" customHeight="1">
      <c r="I889" s="17"/>
    </row>
    <row r="890" ht="14.25" customHeight="1">
      <c r="I890" s="17"/>
    </row>
    <row r="891" ht="14.25" customHeight="1">
      <c r="I891" s="17"/>
    </row>
    <row r="892" ht="14.25" customHeight="1">
      <c r="I892" s="17"/>
    </row>
    <row r="893" ht="14.25" customHeight="1">
      <c r="I893" s="17"/>
    </row>
    <row r="894" ht="14.25" customHeight="1">
      <c r="I894" s="17"/>
    </row>
    <row r="895" ht="14.25" customHeight="1">
      <c r="I895" s="17"/>
    </row>
    <row r="896" ht="14.25" customHeight="1">
      <c r="I896" s="17"/>
    </row>
    <row r="897" ht="14.25" customHeight="1">
      <c r="I897" s="17"/>
    </row>
    <row r="898" ht="14.25" customHeight="1">
      <c r="I898" s="17"/>
    </row>
    <row r="899" ht="14.25" customHeight="1">
      <c r="I899" s="17"/>
    </row>
    <row r="900" ht="14.25" customHeight="1">
      <c r="I900" s="17"/>
    </row>
    <row r="901" ht="14.25" customHeight="1">
      <c r="I901" s="17"/>
    </row>
    <row r="902" ht="14.25" customHeight="1">
      <c r="I902" s="17"/>
    </row>
    <row r="903" ht="14.25" customHeight="1">
      <c r="I903" s="17"/>
    </row>
    <row r="904" ht="14.25" customHeight="1">
      <c r="I904" s="17"/>
    </row>
    <row r="905" ht="14.25" customHeight="1">
      <c r="I905" s="17"/>
    </row>
    <row r="906" ht="14.25" customHeight="1">
      <c r="I906" s="17"/>
    </row>
    <row r="907" ht="14.25" customHeight="1">
      <c r="I907" s="17"/>
    </row>
    <row r="908" ht="14.25" customHeight="1">
      <c r="I908" s="17"/>
    </row>
    <row r="909" ht="14.25" customHeight="1">
      <c r="I909" s="17"/>
    </row>
    <row r="910" ht="14.25" customHeight="1">
      <c r="I910" s="17"/>
    </row>
    <row r="911" ht="14.25" customHeight="1">
      <c r="I911" s="17"/>
    </row>
    <row r="912" ht="14.25" customHeight="1">
      <c r="I912" s="17"/>
    </row>
    <row r="913" ht="14.25" customHeight="1">
      <c r="I913" s="17"/>
    </row>
    <row r="914" ht="14.25" customHeight="1">
      <c r="I914" s="17"/>
    </row>
    <row r="915" ht="14.25" customHeight="1">
      <c r="I915" s="17"/>
    </row>
    <row r="916" ht="14.25" customHeight="1">
      <c r="I916" s="17"/>
    </row>
    <row r="917" ht="14.25" customHeight="1">
      <c r="I917" s="17"/>
    </row>
    <row r="918" ht="14.25" customHeight="1">
      <c r="I918" s="17"/>
    </row>
    <row r="919" ht="14.25" customHeight="1">
      <c r="I919" s="17"/>
    </row>
    <row r="920" ht="14.25" customHeight="1">
      <c r="I920" s="17"/>
    </row>
    <row r="921" ht="14.25" customHeight="1">
      <c r="I921" s="17"/>
    </row>
    <row r="922" ht="14.25" customHeight="1">
      <c r="I922" s="17"/>
    </row>
    <row r="923" ht="14.25" customHeight="1">
      <c r="I923" s="17"/>
    </row>
    <row r="924" ht="14.25" customHeight="1">
      <c r="I924" s="17"/>
    </row>
    <row r="925" ht="14.25" customHeight="1">
      <c r="I925" s="17"/>
    </row>
    <row r="926" ht="14.25" customHeight="1">
      <c r="I926" s="17"/>
    </row>
    <row r="927" ht="14.25" customHeight="1">
      <c r="I927" s="17"/>
    </row>
    <row r="928" ht="14.25" customHeight="1">
      <c r="I928" s="17"/>
    </row>
    <row r="929" ht="14.25" customHeight="1">
      <c r="I929" s="17"/>
    </row>
    <row r="930" ht="14.25" customHeight="1">
      <c r="I930" s="17"/>
    </row>
    <row r="931" ht="14.25" customHeight="1">
      <c r="I931" s="17"/>
    </row>
    <row r="932" ht="14.25" customHeight="1">
      <c r="I932" s="17"/>
    </row>
    <row r="933" ht="14.25" customHeight="1">
      <c r="I933" s="17"/>
    </row>
    <row r="934" ht="14.25" customHeight="1">
      <c r="I934" s="17"/>
    </row>
    <row r="935" ht="14.25" customHeight="1">
      <c r="I935" s="17"/>
    </row>
    <row r="936" ht="14.25" customHeight="1">
      <c r="I936" s="17"/>
    </row>
    <row r="937" ht="14.25" customHeight="1">
      <c r="I937" s="17"/>
    </row>
    <row r="938" ht="14.25" customHeight="1">
      <c r="I938" s="17"/>
    </row>
    <row r="939" ht="14.25" customHeight="1">
      <c r="I939" s="17"/>
    </row>
    <row r="940" ht="14.25" customHeight="1">
      <c r="I940" s="17"/>
    </row>
    <row r="941" ht="14.25" customHeight="1">
      <c r="I941" s="17"/>
    </row>
    <row r="942" ht="14.25" customHeight="1">
      <c r="I942" s="17"/>
    </row>
    <row r="943" ht="14.25" customHeight="1">
      <c r="I943" s="17"/>
    </row>
    <row r="944" ht="14.25" customHeight="1">
      <c r="I944" s="17"/>
    </row>
    <row r="945" ht="14.25" customHeight="1">
      <c r="I945" s="17"/>
    </row>
    <row r="946" ht="14.25" customHeight="1">
      <c r="I946" s="17"/>
    </row>
    <row r="947" ht="14.25" customHeight="1">
      <c r="I947" s="17"/>
    </row>
    <row r="948" ht="14.25" customHeight="1">
      <c r="I948" s="17"/>
    </row>
    <row r="949" ht="14.25" customHeight="1">
      <c r="I949" s="17"/>
    </row>
    <row r="950" ht="14.25" customHeight="1">
      <c r="I950" s="17"/>
    </row>
    <row r="951" ht="14.25" customHeight="1">
      <c r="I951" s="17"/>
    </row>
    <row r="952" ht="14.25" customHeight="1">
      <c r="I952" s="17"/>
    </row>
    <row r="953" ht="14.25" customHeight="1">
      <c r="I953" s="17"/>
    </row>
    <row r="954" ht="14.25" customHeight="1">
      <c r="I954" s="17"/>
    </row>
    <row r="955" ht="14.25" customHeight="1">
      <c r="I955" s="17"/>
    </row>
    <row r="956" ht="14.25" customHeight="1">
      <c r="I956" s="17"/>
    </row>
    <row r="957" ht="14.25" customHeight="1">
      <c r="I957" s="17"/>
    </row>
    <row r="958" ht="14.25" customHeight="1">
      <c r="I958" s="17"/>
    </row>
    <row r="959" ht="14.25" customHeight="1">
      <c r="I959" s="17"/>
    </row>
    <row r="960" ht="14.25" customHeight="1">
      <c r="I960" s="17"/>
    </row>
    <row r="961" ht="14.25" customHeight="1">
      <c r="I961" s="17"/>
    </row>
    <row r="962" ht="14.25" customHeight="1">
      <c r="I962" s="17"/>
    </row>
    <row r="963" ht="14.25" customHeight="1">
      <c r="I963" s="17"/>
    </row>
    <row r="964" ht="14.25" customHeight="1">
      <c r="I964" s="17"/>
    </row>
    <row r="965" ht="14.25" customHeight="1">
      <c r="I965" s="17"/>
    </row>
    <row r="966" ht="14.25" customHeight="1">
      <c r="I966" s="17"/>
    </row>
    <row r="967" ht="14.25" customHeight="1">
      <c r="I967" s="17"/>
    </row>
    <row r="968" ht="14.25" customHeight="1">
      <c r="I968" s="17"/>
    </row>
    <row r="969" ht="14.25" customHeight="1">
      <c r="I969" s="17"/>
    </row>
    <row r="970" ht="14.25" customHeight="1">
      <c r="I970" s="17"/>
    </row>
    <row r="971" ht="14.25" customHeight="1">
      <c r="I971" s="17"/>
    </row>
    <row r="972" ht="14.25" customHeight="1">
      <c r="I972" s="17"/>
    </row>
    <row r="973" ht="14.25" customHeight="1">
      <c r="I973" s="17"/>
    </row>
    <row r="974" ht="14.25" customHeight="1">
      <c r="I974" s="17"/>
    </row>
    <row r="975" ht="14.25" customHeight="1">
      <c r="I975" s="17"/>
    </row>
    <row r="976" ht="14.25" customHeight="1">
      <c r="I976" s="17"/>
    </row>
    <row r="977" ht="14.25" customHeight="1">
      <c r="I977" s="17"/>
    </row>
    <row r="978" ht="14.25" customHeight="1">
      <c r="I978" s="17"/>
    </row>
    <row r="979" ht="14.25" customHeight="1">
      <c r="I979" s="17"/>
    </row>
    <row r="980" ht="14.25" customHeight="1">
      <c r="I980" s="17"/>
    </row>
    <row r="981" ht="14.25" customHeight="1">
      <c r="I981" s="17"/>
    </row>
    <row r="982" ht="14.25" customHeight="1">
      <c r="I982" s="17"/>
    </row>
    <row r="983" ht="14.25" customHeight="1">
      <c r="I983" s="17"/>
    </row>
    <row r="984" ht="14.25" customHeight="1">
      <c r="I984" s="17"/>
    </row>
    <row r="985" ht="14.25" customHeight="1">
      <c r="I985" s="17"/>
    </row>
    <row r="986" ht="14.25" customHeight="1">
      <c r="I986" s="17"/>
    </row>
    <row r="987" ht="14.25" customHeight="1">
      <c r="I987" s="17"/>
    </row>
    <row r="988" ht="14.25" customHeight="1">
      <c r="I988" s="17"/>
    </row>
    <row r="989" ht="14.25" customHeight="1">
      <c r="I989" s="17"/>
    </row>
    <row r="990" ht="14.25" customHeight="1">
      <c r="I990" s="17"/>
    </row>
    <row r="991" ht="14.25" customHeight="1">
      <c r="I991" s="17"/>
    </row>
    <row r="992" ht="14.25" customHeight="1">
      <c r="I992" s="17"/>
    </row>
    <row r="993" ht="14.25" customHeight="1">
      <c r="I993" s="17"/>
    </row>
    <row r="994" ht="14.25" customHeight="1">
      <c r="I994" s="17"/>
    </row>
    <row r="995" ht="14.25" customHeight="1">
      <c r="I995" s="17"/>
    </row>
    <row r="996" ht="14.25" customHeight="1">
      <c r="I996" s="17"/>
    </row>
    <row r="997" ht="14.25" customHeight="1">
      <c r="I997" s="17"/>
    </row>
    <row r="998" ht="14.25" customHeight="1">
      <c r="I998" s="17"/>
    </row>
    <row r="999" ht="14.25" customHeight="1">
      <c r="I999" s="17"/>
    </row>
    <row r="1000" ht="14.25" customHeight="1">
      <c r="I1000" s="1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88"/>
    <col customWidth="1" min="3" max="3" width="12.38"/>
    <col customWidth="1" min="4" max="13" width="8.88"/>
    <col customWidth="1" min="14" max="26" width="8.63"/>
  </cols>
  <sheetData>
    <row r="1" ht="14.25" customHeight="1">
      <c r="A1" s="19" t="s">
        <v>2</v>
      </c>
      <c r="B1" s="20" t="s">
        <v>128</v>
      </c>
      <c r="C1" s="19" t="s">
        <v>129</v>
      </c>
      <c r="D1" s="20" t="s">
        <v>130</v>
      </c>
      <c r="E1" s="19" t="s">
        <v>131</v>
      </c>
      <c r="F1" s="20" t="s">
        <v>132</v>
      </c>
      <c r="G1" s="19" t="s">
        <v>133</v>
      </c>
      <c r="H1" s="21" t="s">
        <v>134</v>
      </c>
      <c r="I1" s="22" t="s">
        <v>135</v>
      </c>
      <c r="J1" s="23" t="s">
        <v>136</v>
      </c>
      <c r="K1" s="23" t="s">
        <v>137</v>
      </c>
      <c r="L1" s="23" t="s">
        <v>138</v>
      </c>
      <c r="M1" s="23" t="s">
        <v>139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4.25" customHeight="1">
      <c r="A2" s="24">
        <v>0.3125</v>
      </c>
      <c r="B2" s="25">
        <v>0.0</v>
      </c>
      <c r="C2" s="26">
        <v>0.5</v>
      </c>
      <c r="D2" s="25">
        <v>4.0</v>
      </c>
      <c r="E2" s="26"/>
      <c r="F2" s="25"/>
      <c r="G2" s="26"/>
      <c r="H2" s="25"/>
      <c r="I2" s="27">
        <f t="shared" ref="I2:I21" si="1">D2*(100/C2)</f>
        <v>800</v>
      </c>
      <c r="J2" s="27">
        <f t="shared" ref="J2:J21" si="2">E2*(100/C2)</f>
        <v>0</v>
      </c>
      <c r="K2" s="27">
        <f t="shared" ref="K2:K21" si="3">F2*(100/C2)</f>
        <v>0</v>
      </c>
      <c r="L2" s="26">
        <f t="shared" ref="L2:L10" si="4">G2*(100/C2)</f>
        <v>0</v>
      </c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4.25" customHeight="1">
      <c r="A3" s="28"/>
      <c r="B3" s="29">
        <v>0.5</v>
      </c>
      <c r="C3" s="29">
        <v>0.5</v>
      </c>
      <c r="D3" s="29">
        <v>5.0</v>
      </c>
      <c r="E3" s="29">
        <v>1.0</v>
      </c>
      <c r="F3" s="29">
        <v>3.0</v>
      </c>
      <c r="G3" s="29"/>
      <c r="H3" s="30"/>
      <c r="I3" s="27">
        <f t="shared" si="1"/>
        <v>1000</v>
      </c>
      <c r="J3" s="27">
        <f t="shared" si="2"/>
        <v>200</v>
      </c>
      <c r="K3" s="27">
        <f t="shared" si="3"/>
        <v>600</v>
      </c>
      <c r="L3" s="26">
        <f t="shared" si="4"/>
        <v>0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4.25" customHeight="1">
      <c r="A4" s="28"/>
      <c r="B4" s="29">
        <v>1.5</v>
      </c>
      <c r="C4" s="29">
        <v>0.5</v>
      </c>
      <c r="D4" s="29">
        <v>39.0</v>
      </c>
      <c r="E4" s="29">
        <v>1.0</v>
      </c>
      <c r="F4" s="29">
        <v>2.0</v>
      </c>
      <c r="G4" s="29"/>
      <c r="H4" s="30"/>
      <c r="I4" s="27">
        <f t="shared" si="1"/>
        <v>7800</v>
      </c>
      <c r="J4" s="27">
        <f t="shared" si="2"/>
        <v>200</v>
      </c>
      <c r="K4" s="27">
        <f t="shared" si="3"/>
        <v>400</v>
      </c>
      <c r="L4" s="26">
        <f t="shared" si="4"/>
        <v>0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4.25" customHeight="1">
      <c r="A5" s="31"/>
      <c r="B5" s="32">
        <v>2.5</v>
      </c>
      <c r="C5" s="32">
        <v>0.5</v>
      </c>
      <c r="D5" s="32">
        <v>9.0</v>
      </c>
      <c r="E5" s="32"/>
      <c r="F5" s="32">
        <v>1.0</v>
      </c>
      <c r="G5" s="32"/>
      <c r="H5" s="33"/>
      <c r="I5" s="34">
        <f t="shared" si="1"/>
        <v>1800</v>
      </c>
      <c r="J5" s="34">
        <f t="shared" si="2"/>
        <v>0</v>
      </c>
      <c r="K5" s="34">
        <f t="shared" si="3"/>
        <v>200</v>
      </c>
      <c r="L5" s="35">
        <f t="shared" si="4"/>
        <v>0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4.25" customHeight="1">
      <c r="A6" s="36">
        <v>0.4375</v>
      </c>
      <c r="B6" s="25">
        <v>0.0</v>
      </c>
      <c r="C6" s="32">
        <v>0.5</v>
      </c>
      <c r="D6" s="37">
        <v>4.0</v>
      </c>
      <c r="E6" s="37">
        <v>1.0</v>
      </c>
      <c r="F6" s="37"/>
      <c r="G6" s="37"/>
      <c r="H6" s="38"/>
      <c r="I6" s="27">
        <f t="shared" si="1"/>
        <v>800</v>
      </c>
      <c r="J6" s="27">
        <f t="shared" si="2"/>
        <v>200</v>
      </c>
      <c r="K6" s="27">
        <f t="shared" si="3"/>
        <v>0</v>
      </c>
      <c r="L6" s="26">
        <f t="shared" si="4"/>
        <v>0</v>
      </c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4.25" customHeight="1">
      <c r="A7" s="28"/>
      <c r="B7" s="29">
        <v>0.5</v>
      </c>
      <c r="C7" s="32">
        <v>0.5</v>
      </c>
      <c r="D7" s="29">
        <v>1.0</v>
      </c>
      <c r="E7" s="29">
        <v>1.0</v>
      </c>
      <c r="F7" s="29"/>
      <c r="G7" s="29"/>
      <c r="H7" s="30"/>
      <c r="I7" s="39">
        <f t="shared" si="1"/>
        <v>200</v>
      </c>
      <c r="J7" s="27">
        <f t="shared" si="2"/>
        <v>200</v>
      </c>
      <c r="K7" s="27">
        <f t="shared" si="3"/>
        <v>0</v>
      </c>
      <c r="L7" s="26">
        <f t="shared" si="4"/>
        <v>0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4.25" customHeight="1">
      <c r="A8" s="28"/>
      <c r="B8" s="29">
        <v>1.5</v>
      </c>
      <c r="C8" s="32">
        <v>0.5</v>
      </c>
      <c r="D8" s="29">
        <v>2.0</v>
      </c>
      <c r="E8" s="29"/>
      <c r="F8" s="29"/>
      <c r="G8" s="29"/>
      <c r="H8" s="30"/>
      <c r="I8" s="39">
        <f t="shared" si="1"/>
        <v>400</v>
      </c>
      <c r="J8" s="27">
        <f t="shared" si="2"/>
        <v>0</v>
      </c>
      <c r="K8" s="27">
        <f t="shared" si="3"/>
        <v>0</v>
      </c>
      <c r="L8" s="26">
        <f t="shared" si="4"/>
        <v>0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4.25" customHeight="1">
      <c r="A9" s="31"/>
      <c r="B9" s="32">
        <v>2.5</v>
      </c>
      <c r="C9" s="32">
        <v>0.5</v>
      </c>
      <c r="D9" s="32">
        <v>4.0</v>
      </c>
      <c r="E9" s="32"/>
      <c r="F9" s="32"/>
      <c r="G9" s="32"/>
      <c r="H9" s="33"/>
      <c r="I9" s="40">
        <f t="shared" si="1"/>
        <v>800</v>
      </c>
      <c r="J9" s="34">
        <f t="shared" si="2"/>
        <v>0</v>
      </c>
      <c r="K9" s="34">
        <f t="shared" si="3"/>
        <v>0</v>
      </c>
      <c r="L9" s="35">
        <f t="shared" si="4"/>
        <v>0</v>
      </c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4.25" customHeight="1">
      <c r="A10" s="36">
        <v>0.5625</v>
      </c>
      <c r="B10" s="25">
        <v>0.0</v>
      </c>
      <c r="C10" s="26">
        <v>0.5</v>
      </c>
      <c r="D10" s="37">
        <v>12.0</v>
      </c>
      <c r="E10" s="37">
        <v>1.0</v>
      </c>
      <c r="F10" s="37"/>
      <c r="G10" s="37"/>
      <c r="H10" s="38">
        <v>1.0</v>
      </c>
      <c r="I10" s="27">
        <f t="shared" si="1"/>
        <v>2400</v>
      </c>
      <c r="J10" s="27">
        <f t="shared" si="2"/>
        <v>200</v>
      </c>
      <c r="K10" s="27">
        <f t="shared" si="3"/>
        <v>0</v>
      </c>
      <c r="L10" s="27">
        <f t="shared" si="4"/>
        <v>0</v>
      </c>
      <c r="M10" s="27">
        <f>H10*(100/C10)</f>
        <v>200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4.25" customHeight="1">
      <c r="A11" s="28"/>
      <c r="B11" s="29">
        <v>0.5</v>
      </c>
      <c r="C11" s="29">
        <v>0.5</v>
      </c>
      <c r="D11" s="29">
        <v>7.0</v>
      </c>
      <c r="E11" s="29">
        <v>3.0</v>
      </c>
      <c r="F11" s="29">
        <v>1.0</v>
      </c>
      <c r="G11" s="29"/>
      <c r="H11" s="30"/>
      <c r="I11" s="39">
        <f t="shared" si="1"/>
        <v>1400</v>
      </c>
      <c r="J11" s="27">
        <f t="shared" si="2"/>
        <v>600</v>
      </c>
      <c r="K11" s="27">
        <f t="shared" si="3"/>
        <v>200</v>
      </c>
      <c r="L11" s="41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4.25" customHeight="1">
      <c r="A12" s="28"/>
      <c r="B12" s="29">
        <v>1.5</v>
      </c>
      <c r="C12" s="29">
        <v>0.5</v>
      </c>
      <c r="D12" s="29">
        <v>10.0</v>
      </c>
      <c r="E12" s="29">
        <v>1.0</v>
      </c>
      <c r="F12" s="29"/>
      <c r="G12" s="29"/>
      <c r="H12" s="30"/>
      <c r="I12" s="39">
        <f t="shared" si="1"/>
        <v>2000</v>
      </c>
      <c r="J12" s="27">
        <f t="shared" si="2"/>
        <v>200</v>
      </c>
      <c r="K12" s="27">
        <f t="shared" si="3"/>
        <v>0</v>
      </c>
      <c r="L12" s="41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4.25" customHeight="1">
      <c r="A13" s="31"/>
      <c r="B13" s="32">
        <v>2.5</v>
      </c>
      <c r="C13" s="32">
        <v>0.5</v>
      </c>
      <c r="D13" s="32">
        <v>8.0</v>
      </c>
      <c r="E13" s="32"/>
      <c r="F13" s="32"/>
      <c r="G13" s="32"/>
      <c r="H13" s="33"/>
      <c r="I13" s="40">
        <f t="shared" si="1"/>
        <v>1600</v>
      </c>
      <c r="J13" s="27">
        <f t="shared" si="2"/>
        <v>0</v>
      </c>
      <c r="K13" s="27">
        <f t="shared" si="3"/>
        <v>0</v>
      </c>
      <c r="L13" s="42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4.25" customHeight="1">
      <c r="A14" s="36">
        <v>0.6875</v>
      </c>
      <c r="B14" s="25">
        <v>0.0</v>
      </c>
      <c r="C14" s="32">
        <v>0.5</v>
      </c>
      <c r="D14" s="37">
        <v>40.0</v>
      </c>
      <c r="E14" s="37">
        <v>1.0</v>
      </c>
      <c r="F14" s="37">
        <v>1.0</v>
      </c>
      <c r="G14" s="37"/>
      <c r="H14" s="38"/>
      <c r="I14" s="27">
        <f t="shared" si="1"/>
        <v>8000</v>
      </c>
      <c r="J14" s="27">
        <f t="shared" si="2"/>
        <v>200</v>
      </c>
      <c r="K14" s="27">
        <f t="shared" si="3"/>
        <v>200</v>
      </c>
      <c r="L14" s="43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4.25" customHeight="1">
      <c r="A15" s="28"/>
      <c r="B15" s="29">
        <v>0.5</v>
      </c>
      <c r="C15" s="32">
        <v>0.5</v>
      </c>
      <c r="D15" s="29">
        <v>40.0</v>
      </c>
      <c r="E15" s="29">
        <v>1.0</v>
      </c>
      <c r="F15" s="29"/>
      <c r="G15" s="29"/>
      <c r="H15" s="30"/>
      <c r="I15" s="39">
        <f t="shared" si="1"/>
        <v>8000</v>
      </c>
      <c r="J15" s="27">
        <f t="shared" si="2"/>
        <v>200</v>
      </c>
      <c r="K15" s="27">
        <f t="shared" si="3"/>
        <v>0</v>
      </c>
      <c r="L15" s="41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4.25" customHeight="1">
      <c r="A16" s="28"/>
      <c r="B16" s="29">
        <v>1.5</v>
      </c>
      <c r="C16" s="32">
        <v>0.5</v>
      </c>
      <c r="D16" s="29">
        <v>52.0</v>
      </c>
      <c r="E16" s="29">
        <v>2.0</v>
      </c>
      <c r="F16" s="29"/>
      <c r="G16" s="29"/>
      <c r="H16" s="30"/>
      <c r="I16" s="39">
        <f t="shared" si="1"/>
        <v>10400</v>
      </c>
      <c r="J16" s="27">
        <f t="shared" si="2"/>
        <v>400</v>
      </c>
      <c r="K16" s="27">
        <f t="shared" si="3"/>
        <v>0</v>
      </c>
      <c r="L16" s="41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4.25" customHeight="1">
      <c r="A17" s="31"/>
      <c r="B17" s="32">
        <v>2.5</v>
      </c>
      <c r="C17" s="32">
        <v>0.5</v>
      </c>
      <c r="D17" s="32">
        <v>47.0</v>
      </c>
      <c r="E17" s="32">
        <v>2.0</v>
      </c>
      <c r="F17" s="32">
        <v>2.0</v>
      </c>
      <c r="G17" s="32"/>
      <c r="H17" s="33"/>
      <c r="I17" s="40">
        <f t="shared" si="1"/>
        <v>9400</v>
      </c>
      <c r="J17" s="27">
        <f t="shared" si="2"/>
        <v>400</v>
      </c>
      <c r="K17" s="27">
        <f t="shared" si="3"/>
        <v>400</v>
      </c>
      <c r="L17" s="42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4.25" customHeight="1">
      <c r="A18" s="36">
        <v>0.8229166666666666</v>
      </c>
      <c r="B18" s="25">
        <v>0.0</v>
      </c>
      <c r="C18" s="32">
        <v>0.5</v>
      </c>
      <c r="D18" s="37">
        <v>15.0</v>
      </c>
      <c r="E18" s="37">
        <v>1.0</v>
      </c>
      <c r="F18" s="37"/>
      <c r="G18" s="37"/>
      <c r="H18" s="38"/>
      <c r="I18" s="27">
        <f t="shared" si="1"/>
        <v>3000</v>
      </c>
      <c r="J18" s="37">
        <f t="shared" si="2"/>
        <v>200</v>
      </c>
      <c r="K18" s="27">
        <f t="shared" si="3"/>
        <v>0</v>
      </c>
      <c r="L18" s="27">
        <f>G18*(100/D18)</f>
        <v>0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4.25" customHeight="1">
      <c r="A19" s="28"/>
      <c r="B19" s="29">
        <v>0.5</v>
      </c>
      <c r="C19" s="32">
        <v>0.5</v>
      </c>
      <c r="D19" s="29">
        <v>18.0</v>
      </c>
      <c r="E19" s="29">
        <v>1.0</v>
      </c>
      <c r="F19" s="29"/>
      <c r="G19" s="29">
        <v>1.0</v>
      </c>
      <c r="H19" s="30"/>
      <c r="I19" s="39">
        <f t="shared" si="1"/>
        <v>3600</v>
      </c>
      <c r="J19" s="29">
        <f t="shared" si="2"/>
        <v>200</v>
      </c>
      <c r="K19" s="27">
        <f t="shared" si="3"/>
        <v>0</v>
      </c>
      <c r="L19" s="27">
        <f t="shared" ref="L19:L20" si="5">G19*(100/C19)</f>
        <v>200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4.25" customHeight="1">
      <c r="A20" s="28"/>
      <c r="B20" s="29">
        <v>1.5</v>
      </c>
      <c r="C20" s="32">
        <v>0.5</v>
      </c>
      <c r="D20" s="29">
        <v>34.0</v>
      </c>
      <c r="E20" s="29">
        <v>4.0</v>
      </c>
      <c r="F20" s="29"/>
      <c r="G20" s="29">
        <v>2.0</v>
      </c>
      <c r="H20" s="30"/>
      <c r="I20" s="39">
        <f t="shared" si="1"/>
        <v>6800</v>
      </c>
      <c r="J20" s="29">
        <f t="shared" si="2"/>
        <v>800</v>
      </c>
      <c r="K20" s="27">
        <f t="shared" si="3"/>
        <v>0</v>
      </c>
      <c r="L20" s="27">
        <f t="shared" si="5"/>
        <v>400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4.25" customHeight="1">
      <c r="A21" s="31"/>
      <c r="B21" s="32">
        <v>2.5</v>
      </c>
      <c r="C21" s="32">
        <v>0.5</v>
      </c>
      <c r="D21" s="32">
        <v>64.0</v>
      </c>
      <c r="E21" s="32">
        <v>1.0</v>
      </c>
      <c r="F21" s="32">
        <v>1.0</v>
      </c>
      <c r="G21" s="32"/>
      <c r="H21" s="33"/>
      <c r="I21" s="40">
        <f t="shared" si="1"/>
        <v>12800</v>
      </c>
      <c r="J21" s="32">
        <f t="shared" si="2"/>
        <v>200</v>
      </c>
      <c r="K21" s="27">
        <f t="shared" si="3"/>
        <v>200</v>
      </c>
      <c r="L21" s="27">
        <f>G21*(100/D21)</f>
        <v>0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4.2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4.2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4.2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4.2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4.2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4.2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4.2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4.2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4.2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4.2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4.2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4.2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4.2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4.2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4.2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4.2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4.2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4.2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4.2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4.2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4.2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4.2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4.2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4.2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4.2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4.2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4.2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4.2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4.2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4.2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4.2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4.2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4.2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4.2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4.2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4.2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4.2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4.2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4.2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4.2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4.2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4.2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4.2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4.2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4.2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4.2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4.2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4.2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4.2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4.2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4.2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4.2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4.2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4.2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4.2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4.2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4.2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4.2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4.2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4.2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4.2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4.2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4.2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4.2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4.2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4.2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4.2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4.2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4.2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4.2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4.2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4.2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4.2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4.2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4.2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4.2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4.2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4.2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4.2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4.2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4.2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4.2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4.2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4.2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4.2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4.2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4.2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4.2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4.2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4.2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4.2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4.2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4.2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4.2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4.2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4.2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4.2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4.2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4.2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4.2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4.2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4.2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4.2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4.2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4.2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4.2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4.2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4.2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4.2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4.2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4.2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4.2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4.2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4.2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4.2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4.2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4.2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4.2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4.2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4.2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4.2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4.2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4.2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4.2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4.2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4.2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4.2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4.2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4.2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4.2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4.2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4.2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4.2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4.2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4.2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4.2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4.2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4.2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4.2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4.2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4.2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4.2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4.2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4.2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4.2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4.2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4.2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4.2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4.2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4.2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4.2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4.2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4.2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4.2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4.2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4.2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4.2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4.2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4.2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4.2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4.2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4.2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4.2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4.2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4.2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4.2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4.2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4.2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4.2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4.2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4.2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4.2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4.2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4.2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4.2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4.2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4.2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4.2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4.2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4.2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4.2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4.2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4.2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4.2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4.2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4.2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4.2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4.2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4.2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4.2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4.2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4.2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4.2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4.2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4.2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4.2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4.2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4.2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4.2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4.2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4.2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4.2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4.2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4.2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4.2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4.2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4.2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4.2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4.2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4.2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4.2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4.2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4.2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4.2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4.2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4.2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4.2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4.2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4.2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4.2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4.2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4.2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4.2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4.2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4.2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4.2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4.2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4.2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4.2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4.2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4.2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4.2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4.2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4.2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4.2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4.2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4.2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4.2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4.2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4.2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4.2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4.2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4.2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4.2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4.2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4.2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4.2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4.2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4.2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4.2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4.2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4.2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4.2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4.2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4.2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4.2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4.2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4.2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4.2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4.2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4.2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4.2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4.2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4.2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4.2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4.2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4.2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4.2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4.2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4.2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4.2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4.2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4.2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4.2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4.2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4.2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4.2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4.2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4.2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4.2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4.2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4.2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4.2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4.2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4.2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4.2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4.2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4.2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4.2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4.2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4.2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4.2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4.2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4.2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4.2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4.2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4.2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4.2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4.2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4.2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4.2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4.2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4.2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4.2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4.2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4.2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4.2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4.2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4.2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4.2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4.2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4.2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4.2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4.2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4.2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4.2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4.2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4.2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4.2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4.2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4.2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4.2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4.2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4.2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4.2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4.2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4.2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4.2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4.2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4.2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4.2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4.2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4.2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4.2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4.2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4.2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4.2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4.2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4.2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4.2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4.2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4.2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4.2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4.2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4.2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4.2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4.2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4.2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4.2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4.2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4.2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4.2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4.2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4.2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4.2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4.2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4.2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4.2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4.2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4.2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4.2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4.2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4.2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4.2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4.2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4.2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4.2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4.2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4.2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4.2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4.2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4.2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4.2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4.2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4.2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4.2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4.2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4.2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4.2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4.2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4.2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4.2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4.2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4.2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4.2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4.2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4.2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4.2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4.2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4.2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4.2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4.2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4.2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4.2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4.2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4.2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4.2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4.2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4.2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4.2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4.2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4.2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4.2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4.2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4.2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4.2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4.2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4.2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4.2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4.2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4.2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4.2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4.2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4.2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4.2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4.2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4.2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4.2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4.2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4.2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4.2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4.2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4.2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4.2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4.2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4.2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4.2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4.2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4.2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4.2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4.2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4.2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4.2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4.2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4.2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4.2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4.2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4.2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4.2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4.2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4.2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4.2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4.2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4.2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4.2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4.2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4.2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4.2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4.2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4.2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4.2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4.2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4.2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4.2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4.2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4.2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4.2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4.2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4.2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4.2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4.2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4.2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4.2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4.2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4.2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4.2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4.2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4.2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4.2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4.2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4.2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4.2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4.2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4.2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4.2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4.2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4.2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4.2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4.2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4.2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4.2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4.2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4.2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4.2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4.2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4.2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4.2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4.2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4.2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4.2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4.2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4.2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4.2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4.2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4.2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4.2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4.2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4.2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4.2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4.2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4.2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4.2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4.2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4.2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4.2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4.2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4.2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4.2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4.2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4.2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4.2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4.2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4.2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4.2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4.2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4.2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4.2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4.2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4.2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4.2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4.2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4.2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4.2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4.2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4.2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4.2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4.2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4.2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4.2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4.2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4.2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4.2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4.2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4.2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4.2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4.2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4.2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4.2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4.2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4.2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4.2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4.2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4.2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4.2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4.2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4.2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4.2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4.2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4.2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4.2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4.2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4.2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4.2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4.2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4.2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4.2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4.2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4.2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4.2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4.2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4.2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4.2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4.2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4.2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4.2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4.2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4.2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4.2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4.2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4.2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4.2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4.2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4.2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4.2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4.2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4.2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4.2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4.2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4.2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4.2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4.2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4.2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4.2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4.2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4.2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4.2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4.2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4.2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4.2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4.2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4.2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4.2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4.2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4.2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4.2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4.2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4.2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4.2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4.2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4.2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4.2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4.2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4.2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4.2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4.2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4.2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4.2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4.2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4.2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4.2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4.2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4.2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4.2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4.2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4.2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4.2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4.2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4.2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4.2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4.2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4.2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4.2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4.2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4.2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4.2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4.2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4.2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4.2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4.2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4.2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4.2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4.2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4.2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4.2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4.2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4.2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4.2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4.2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4.2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4.2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4.2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4.2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4.2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4.2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4.2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4.2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4.2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4.2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4.2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4.2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4.2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4.2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4.2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4.2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4.2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4.2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4.2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4.2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4.2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4.2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4.2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4.2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4.2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4.2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4.2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4.2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4.2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4.2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4.2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4.2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4.2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4.2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4.2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4.2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4.2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4.2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4.2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4.2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4.2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4.2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4.2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4.2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4.2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4.2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4.2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4.2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4.2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4.2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4.2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4.2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4.2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4.2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4.2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4.2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4.2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4.2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4.2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4.2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4.2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4.2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4.2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4.2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4.2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4.2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4.2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4.2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4.2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4.2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4.2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4.2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4.2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4.2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4.2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4.2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4.2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4.2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4.2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4.2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4.2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4.2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4.2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4.2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4.2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4.2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4.2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4.2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4.2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4.2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4.2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4.2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4.2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4.2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4.2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4.2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4.2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4.2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4.2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4.2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4.2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4.2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4.2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4.2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4.2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4.2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4.2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4.2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4.2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4.2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4.2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4.2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4.2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4.2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4.2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4.2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4.2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4.2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4.2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4.2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4.2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4.2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4.2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4.2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4.2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4.2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4.2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4.2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4.2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4.2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4.2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4.2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4.2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4.2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4.2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4.2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4.2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4.2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4.2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4.2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4.2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4.2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4.2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4.2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4.2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4.2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4.2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4.2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4.2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4.2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4.2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4.2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4.2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4.2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4.2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4.2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4.2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4.2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4.2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4.2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4.2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4.2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4.2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4.2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4.2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4.2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4.2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4.2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4.2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4.2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4.2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4.2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4.2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4.2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4.2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4.2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4.2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4.2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4.2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4.2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4.2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4.2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4.2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4.2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4.2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4.2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4.2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4.2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4.2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4.2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4.2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4.2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4.2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4.2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4.2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4.2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4.2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4.2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4.2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4.2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4.2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4.2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4.2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4.2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4.2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4.2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4.2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4.2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4.2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4.2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4.2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4.2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4.2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4.2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4.2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4.2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4.2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4.2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4.2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4.2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4.2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4.2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4.2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4.2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4.2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4.2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4.2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4.2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4.2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4.2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4.2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4.2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4.2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4.2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4.2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4.2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4.2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4.2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4.2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4.2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4.2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4.2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4.2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4.2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4.2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4.2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4.2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4.2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4.2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4.2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4.2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4.2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4.2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4.2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4.2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4.2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4.2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4.2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4.2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4.2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4.2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4.2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4.2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4.2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4.2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4.2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4.2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4.2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4.2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4.2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4.2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4.2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4.2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4.2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4.2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4.2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4.2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4.2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4.2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4.2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4.2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4.2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4.2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4.2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4.2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4.2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4.2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4.2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4.2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4.2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4.2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4.2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4.2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4.2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4.2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4.2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4.2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4.2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4.2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4.2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4.2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4.2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4.2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4.2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4.2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4.2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4.2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4.2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4.2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4.2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4.2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4.2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4.2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4.2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4.2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4.2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4.2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4.2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4.2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4.2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4.2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4.2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4.2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4.2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4.2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4.2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4.2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4.2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4.2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4.2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4.2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4.2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4.2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4.2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4.2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4.2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4.2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4.2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4.2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4.2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4.2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2025-07-11T17:58:52Z</dcterms:created>
  <dc:creator>Neil Harrington</dc:creator>
</cp:coreProperties>
</file>