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dInlet" sheetId="1" r:id="rId4"/>
  </sheets>
  <definedNames/>
  <calcPr/>
  <extLst>
    <ext uri="GoogleSheetsCustomDataVersion2">
      <go:sheetsCustomData xmlns:go="http://customooxmlschemas.google.com/" r:id="rId5" roundtripDataChecksum="DTC1H/LJcTlSOnHtAMIivdSTF7RYLBW0GST5u/vu2sk="/>
    </ext>
  </extLst>
</workbook>
</file>

<file path=xl/sharedStrings.xml><?xml version="1.0" encoding="utf-8"?>
<sst xmlns="http://schemas.openxmlformats.org/spreadsheetml/2006/main" count="1515" uniqueCount="333">
  <si>
    <t>Date</t>
  </si>
  <si>
    <t>Time</t>
  </si>
  <si>
    <t>Sample Depth (m)</t>
  </si>
  <si>
    <t>IFCB depth (m)</t>
  </si>
  <si>
    <t>ChlMax Lower1</t>
  </si>
  <si>
    <t>ChlMax Upper1</t>
  </si>
  <si>
    <t>ChlMax Lower2</t>
  </si>
  <si>
    <t>ChlMax Upper2</t>
  </si>
  <si>
    <t>Chl Max Depth (m)</t>
  </si>
  <si>
    <t>chl peak intensity</t>
  </si>
  <si>
    <t>chl scattered?</t>
  </si>
  <si>
    <t>chl scattered range (m)</t>
  </si>
  <si>
    <t>Wind</t>
  </si>
  <si>
    <t>Wave</t>
  </si>
  <si>
    <t>Weather</t>
  </si>
  <si>
    <t>Sample Depth(s) (m)</t>
  </si>
  <si>
    <t>Dino_cellsL_wRotun</t>
  </si>
  <si>
    <t>Dino_cellsL</t>
  </si>
  <si>
    <t>Original volume concentrated (mL)</t>
  </si>
  <si>
    <t>Concentrated volume (mL)</t>
  </si>
  <si>
    <t>RAW Dinophysis count</t>
  </si>
  <si>
    <t>Volume of concentrate counted (mL)</t>
  </si>
  <si>
    <t>Colums of S-R counted</t>
  </si>
  <si>
    <t>Mesodinium_cellsL</t>
  </si>
  <si>
    <t>Acum</t>
  </si>
  <si>
    <t>Fort</t>
  </si>
  <si>
    <t>Norv</t>
  </si>
  <si>
    <t>Odio</t>
  </si>
  <si>
    <t>Rotu</t>
  </si>
  <si>
    <t>Parv</t>
  </si>
  <si>
    <t>Acut</t>
  </si>
  <si>
    <t>SIEVE TOX(L) frozen -20°C</t>
  </si>
  <si>
    <t>SIEVE ID Lugols</t>
  </si>
  <si>
    <t>NUTRIENTS frozen-20°C</t>
  </si>
  <si>
    <t>POM (mL) frozen-20°C</t>
  </si>
  <si>
    <t>POP (mL) frozen-20°C</t>
  </si>
  <si>
    <t>Ammonia (µM)</t>
  </si>
  <si>
    <t>Dominant phytoplankton</t>
  </si>
  <si>
    <t>Prominant phytoplankton</t>
  </si>
  <si>
    <t>Present phytoplankton</t>
  </si>
  <si>
    <t>Notes</t>
  </si>
  <si>
    <t>1.7</t>
  </si>
  <si>
    <t>1.5</t>
  </si>
  <si>
    <t>nan</t>
  </si>
  <si>
    <t>intermediate</t>
  </si>
  <si>
    <t>N</t>
  </si>
  <si>
    <t>n/a</t>
  </si>
  <si>
    <t>none</t>
  </si>
  <si>
    <t>sun</t>
  </si>
  <si>
    <t>3</t>
  </si>
  <si>
    <t>partly cloudy</t>
  </si>
  <si>
    <t>1 , 3 , 6</t>
  </si>
  <si>
    <t>large</t>
  </si>
  <si>
    <t>overcast</t>
  </si>
  <si>
    <t>1 , 3</t>
  </si>
  <si>
    <t>Thalassiosira</t>
  </si>
  <si>
    <t>Chaetoceros, Noctiluca</t>
  </si>
  <si>
    <t>Tiarinna, Tintinnids, Ceratium, Actinoptychus, Pseudo-nitzschia, Copepods, cf Detinlua</t>
  </si>
  <si>
    <t>4.5</t>
  </si>
  <si>
    <t>3, 4.5</t>
  </si>
  <si>
    <t>minor</t>
  </si>
  <si>
    <t>1 , 4</t>
  </si>
  <si>
    <t>Thalassiosira, Chaetoceros. Actinoptychus</t>
  </si>
  <si>
    <t>Thalassionema, Pseudo-nitzschia large, Rotifer, Tintinnids, cf Protoceratium, Noctiluca, zooplankton, Dactyliosolen</t>
  </si>
  <si>
    <t>Noctiluca, Coscinodiscus, Actinoptychus</t>
  </si>
  <si>
    <t>Chaetoceros, Cylindrotheca, Navicula, Copepods, Rotifers</t>
  </si>
  <si>
    <t>2</t>
  </si>
  <si>
    <t>2-3</t>
  </si>
  <si>
    <t>Y</t>
  </si>
  <si>
    <t>2 - 4.5</t>
  </si>
  <si>
    <t>Coscinodiscus, Noctiluca</t>
  </si>
  <si>
    <t>Protoperidinium, Tinitinnids, small flagellates, rotifers, Navicula, Detonula, Thalssionema, Copepods, N. acicularis, Dictyocha</t>
  </si>
  <si>
    <t>2.5</t>
  </si>
  <si>
    <t>1.5-2.5</t>
  </si>
  <si>
    <t>Noctiluca, Cylindrotheca</t>
  </si>
  <si>
    <t>Tinitnnids, Rotifers, Pseudo-nitzschia (large p/m type), Thalassiosira, Stephanopyxsis, Gyrosigma, Protoperidinium, A. sanguinea, N. acicularis, Dictyocha, C. fusus</t>
  </si>
  <si>
    <t>0</t>
  </si>
  <si>
    <t>surface</t>
  </si>
  <si>
    <t>water quality (bacteria/sewage) issues, no water taken</t>
  </si>
  <si>
    <t>1</t>
  </si>
  <si>
    <t>0-1</t>
  </si>
  <si>
    <t>0 - 2</t>
  </si>
  <si>
    <t>Flagellate dominated assemblage with C. fusus, A. sanguinea, Tiarinna, M. rubrum, Noctiluca, small flagellates, Polykrikos, Protoperidinium, Gyrosigma, Gyrodinium</t>
  </si>
  <si>
    <t>1-1.5</t>
  </si>
  <si>
    <t>tiny Chaetoceros sp.</t>
  </si>
  <si>
    <t>C. fusus, A. sanguinea</t>
  </si>
  <si>
    <t>Thalassiosira, Dactyliosolen, Pseudo-nitzschia (large p/m type) Cylindrotheca, Tintinnds, Detonula, Prorocentrum, Navicula, Oxyphysis, Thalassionema, Asteromphalus</t>
  </si>
  <si>
    <t>1-2</t>
  </si>
  <si>
    <t>0.5 - 2.5</t>
  </si>
  <si>
    <t>A. sanguinea</t>
  </si>
  <si>
    <t>Noctiluca</t>
  </si>
  <si>
    <t>C. fusus, Tiarrina, Cylindrotheca, Thalssiosira, Protoperidinium, Thalassionema, N. acicularis, Chaetoceros, Tintinnids</t>
  </si>
  <si>
    <t>A, sanguinea @ 31,800 cells/L</t>
  </si>
  <si>
    <t>1.5-2</t>
  </si>
  <si>
    <t>1 - 5</t>
  </si>
  <si>
    <t>Leptocylindros minimus, Pseudo-nitzschia (large p/m type), C. fusus, Protoperidinium, Chaetoceros, N. acicularis, Ceratulina, cf Nematodinium, Pluerosigma, Scripsiella, Navicula, Cylindrotheca, Tiarina, Thalassiosira, Skeletonema, Stephanopyxsis, P. gracile</t>
  </si>
  <si>
    <t>A. sanguinea @ 74,000 cells/L</t>
  </si>
  <si>
    <t>1 - 2.5</t>
  </si>
  <si>
    <t>A. sanguinea, Leptocylindros minimus</t>
  </si>
  <si>
    <t>cf Leptocylindrus</t>
  </si>
  <si>
    <t>Tiarrina, Chaetoceros, N. acicularis, Prorocentrum gracile, Oxytoxum, Thalassionema, cf Alexandrium, C. fusus, Protoperidinium, Skeletonema, Noctiluca, Pluerosigma, Scripsiella, Plaggiogramopsis</t>
  </si>
  <si>
    <t>A. sanguinea @ 34,000 cells/L</t>
  </si>
  <si>
    <t>1.98</t>
  </si>
  <si>
    <t>Leptocylindros minimus</t>
  </si>
  <si>
    <t>Chaetoceros, Skeletonema, Pseudo-nitzschia (large, p/m type)</t>
  </si>
  <si>
    <t>Diylum, Thalassiosira, N. acicularis, Eucampia, Hemiaulus, cf Leptocylindrus, Cylindrotheca, Tiarrina, A. sanguinea, Tininnids, Protoperidinium, C. fusus, Plagiogrampopsis, cf Alexandrium</t>
  </si>
  <si>
    <t>just a few A. sanguinea</t>
  </si>
  <si>
    <t>1 - 3</t>
  </si>
  <si>
    <t>Pseudo-nitzschia (large p/m type)</t>
  </si>
  <si>
    <t>Ditylum, C. fusus, Eucampia, Ebria, Thalassiosira, N. acicularis, Thalassinema, Hemiaulus, Chaetcoeros, cf Lauderia, Tintinnids, cf Alexandrium, Protoperidinium, Tiarinna, large ciliates, Noctiluca, Cylindrotheca, A. sanguinea, copepods, Actinoptychus</t>
  </si>
  <si>
    <t>Pseudo-nitzschia concentration ~ 57,000 cells/L; Diatom dominated assemblage</t>
  </si>
  <si>
    <t>Ceratium fusus</t>
  </si>
  <si>
    <t>Pseudo-nitzschia large (p/m type), Thalassiosira, A. sanguinea, Tintinnids, Chaetoceros, Leptocylindros minimus, Cylindrotheca, Thalassionema, Skeletonema, Noctiluca, Actinoptychus, large cilitae, Scipsiella, Coscinodiscus, cf Lauderia, Protoperidinium, Tiarinna, Ditylum, Pluerosigma, Eucampia, Hemialus, Copepod, Plaggiogramopsis</t>
  </si>
  <si>
    <t>C. fusus bloom (2,050,000 cells/L at surface and 1,670,000 cells/mL at 1.5m), c-max right at the surface (0-0.5 m)</t>
  </si>
  <si>
    <t>5</t>
  </si>
  <si>
    <t>1, 3-5</t>
  </si>
  <si>
    <t>1 - 6</t>
  </si>
  <si>
    <t>partly sunny</t>
  </si>
  <si>
    <t>Leptocylindros minimus, N. acicularis, Noctiluca, Chaetoceros, Thalassiosira, Cylindrotheca, Scripsiella, Protoperidinium, Actinoptychus, Tintinnd, Guinardia, Pseudo-nitzschia large (p/m type), Cerataulina, Euglenoid, A. sanguinea, Coscinodiscus, Detonula, Eucampia</t>
  </si>
  <si>
    <t>C. fusus bloom (147,000 cells/L at 1.5m)</t>
  </si>
  <si>
    <t>surface, 4.5</t>
  </si>
  <si>
    <t>Chaetoceros, Protoperidinium, Actinopthychuc, Cylindrotheca, N. acicularis, Detonula, Mesodinium, Ciliates, Tintinnids, Alexandrium, Dinophysis, L. minimus, A. sanguinea, Oxyphysis, Thalassiosira, Pseudo-nitzschia large (p/m type), Eucampia</t>
  </si>
  <si>
    <t>C. fusus (16,750 cells/L @ 1.5m)</t>
  </si>
  <si>
    <t>surface, 1.5</t>
  </si>
  <si>
    <t>Cylindrotheca</t>
  </si>
  <si>
    <t>Chaetoceros, Scripsiella, A. sanguinea, Protoperidinium, Thalassiosira, Dinophysis, Stephanopyxsis, Protoceratium, Thalassionema, L. minimus, N. acicularis, Detonula, Skeletonema, Guinardia, Tinitinnids, Pseudo-nitzschia large (p/m type), Amylax, Ditylum, Eucampia, Gymnodinium, Oxyphysis, Phaeocystis, Prorocentrum, Plaggiogramopsis, Noctiluca, Coscinodiscus</t>
  </si>
  <si>
    <t>C. fusus (96,000 cells/L @ 1.5m)</t>
  </si>
  <si>
    <t>rain</t>
  </si>
  <si>
    <t>-</t>
  </si>
  <si>
    <t>no water samples taken, IFCB cleaned with Micro-90</t>
  </si>
  <si>
    <t>mostly cloudy</t>
  </si>
  <si>
    <t>A. sanguinea, Cylindrotheca</t>
  </si>
  <si>
    <t>Pseudo-nitzschia large (p/m type), Thalassiosira, Prorocentrum, Protoperidinium, Dinophysis, Ditylum, L. minimus, Chaetoceros, Tintinnids, Actinoptychus, cf Alexandrium, Eucampia, N. acicularis, Noctiluca, Skeletonema, Pluerosigma, L. danicus, Heterocapsa, Dictyohca, Ciliates, Thalssionema, Protoceratium, Coscinodiscus</t>
  </si>
  <si>
    <t>streaks of A. sanguinea (likely) on the surface of water; 4,500 cells/L C. fusus @ 1.5m depth</t>
  </si>
  <si>
    <t>3.5</t>
  </si>
  <si>
    <t>surface, 3.5</t>
  </si>
  <si>
    <t>0 - 6</t>
  </si>
  <si>
    <t>Prorocentrum micans, L. minimus, Cylindrotheca, Chaetocreos, Thalassiosira, A. sanguinea, Protoperidinium, Ditylum, large ciliates, Pluerosigma, Coscinodiscus, Pseudo-nitzschia large (p/m type), Thalassionema, Tinitinnids, cf Detonula, Eucampia, Tiarinna, Navicula</t>
  </si>
  <si>
    <t>C. fusus blooming... still (82,000 cells/L @ 1.5m). C. fusus streaking on surface of ww at the lab</t>
  </si>
  <si>
    <t>C. fusus, Chaetoceros</t>
  </si>
  <si>
    <t>Rhizosolenia, Pseudo-nitzschia large (p/m type), Cylindrotheca, Detonula, Ditylum, Eucampia, A. sanguinea, Nitzschia acicularis, Thalassiosira, Protoperidinium, Oxyphysis, Skeletonema, Noctiluca, Ciliates, Pseudo-nitzschia small (pd/d/c type), Coscinodiscus, L. minimus, Actinoptychus, Hemiaulus, Prorocentrum, Alexandrium, Gyrodinium, Scripsiella, Tintinnids</t>
  </si>
  <si>
    <t>much less biomass overall, more diversity of diatoms maybe</t>
  </si>
  <si>
    <t>fog</t>
  </si>
  <si>
    <t>Chaetoceros</t>
  </si>
  <si>
    <t>C. fusus, Cylindrotheca, Thalassiosira, Detonula, Leptocylindros, Tintinnids, Ciliates, cf Alexandrium, Skeletonema, Noctiluca, Ditylum, Thalassionema, Protoperidinium, Eucampia, Pluerosigma, Pseudo-nitzschia large (p/m type), Tiarinna, A. sanguinea, Actinoptychus, Plaggiogrammopsis, Prorocentrum, N. acicularis, L. minimus, Oxyphysis, Rhizosolenia, Dictyocha</t>
  </si>
  <si>
    <t>less biomass than last time</t>
  </si>
  <si>
    <t>moderate</t>
  </si>
  <si>
    <t>Skeletonema, Tintinnids, penate diatom, Thalssiosira, Dinophysis, Detonula, Thalassionema, Pseudo-nitzschia large (p/m type), Asteromphalus, Ditylum, Leptocylindros, Pluerosigma, Coscinodiscus, Hemiaulus, Noctiluca, C. fusus, A. sanguinea, Ciliate, N. acicularis, zooplankton</t>
  </si>
  <si>
    <t>litte biomass overall</t>
  </si>
  <si>
    <t>pennate diatoms, Cylindrotheca, Pluerosigma, Asteromphalus, Thalassiosira, Chaetoceros, C. fusus, Dinophysis, A. snaguinea, Detonula, Thalassionema, Actinoptychus, Leptocylindros, Noctiluca, Coscinodiscus, Tiarrina, Tintinnids, Ditylum</t>
  </si>
  <si>
    <t>very little phyto biomass, water brown from detritus/mixed up sediment</t>
  </si>
  <si>
    <t>clear</t>
  </si>
  <si>
    <t>1.5 , 5</t>
  </si>
  <si>
    <t>Skeletonema</t>
  </si>
  <si>
    <t>Chaetoceros, Ditylum, Pn large (p/m), Thalassionema, Leptocylindros, Lauderia, Gymnodinium, Nematodinium, Oxyphysis, Cylindrotheca, Zooplankton, Pluerosigma, Pennate diatom, Coscinodiscus, Ephemera, Odontella, Dichytocha, Protoperidinium, Ebria, Tintinnid, Ciliate, Gyrodinium</t>
  </si>
  <si>
    <t>No samples for ECOHAB DinoX taken. Diatom dominated overall. Heavy sediment content due to dam opening and strong current flowing through area. Sample at 5m ~28 salinity and was used for phytoplankton analysis. 1.5m sample salinity was ~18 and heavy with sediment, not looked at or used.</t>
  </si>
  <si>
    <t>1.5 - 2</t>
  </si>
  <si>
    <t>Dictyocha, Pseudo-nitzschia (p/m, a/f/h, pd,d), Cylindrotheca, Thalassionema, Nematodinium, Thalassiosira, Dinophysis, Mesodinium, Tintinnid, Lauderia, Navicula, Ciliate, Ephemera, Pluerosigma, Amylax, Ditylum, Protoperidinium, Nitzschia, Odontella, zooplankton</t>
  </si>
  <si>
    <t>clear water, no movement</t>
  </si>
  <si>
    <t>4.8</t>
  </si>
  <si>
    <t>&gt; 1.5</t>
  </si>
  <si>
    <t>1.5 - 4.5</t>
  </si>
  <si>
    <t>part sun</t>
  </si>
  <si>
    <t>y</t>
  </si>
  <si>
    <t>Thalassionema, Pseudo-nitzschia (a/f/h) and (pd/d), Cylindrotheca, Ditylum, Tintinnids, Thalassiosira, Mesodinium, Dictyocha, Phaeocystis, Odontella, Prorocentrum, pennate diatom, Corethron, Pluerosigma, Melosira, Nitzschia acicularis, Scripsiella, large ciliate, Protoperidinium, cf Lauderia, Copepod, Asterionellopsis</t>
  </si>
  <si>
    <t>clearish water, no current, IFCB deploy day</t>
  </si>
  <si>
    <t>6.4</t>
  </si>
  <si>
    <t>&gt; 1</t>
  </si>
  <si>
    <t>1.5 - 6.5</t>
  </si>
  <si>
    <t>no details on composition, however, it was similar composition to previous sample</t>
  </si>
  <si>
    <t>no current</t>
  </si>
  <si>
    <t>4</t>
  </si>
  <si>
    <t>1 - 4</t>
  </si>
  <si>
    <t>1.5 - 4</t>
  </si>
  <si>
    <t>Chaetoceros spp.</t>
  </si>
  <si>
    <t>Thalassiosira, N. acicularis, Odotella, Leptocylindros, Tiarrina, Ephemera, Rhizosolenia, Pennate diatoms, Ditylum, Thalassionema, Pseudo-nitzschia (a/f/h, p/m, pd/d), Corethron, Detonula, Stephanopyxsis, Pluerosigma, Actinoptychus, Dictyocha, Melosira, clam veliger, Dinophysis, zooplankton, Tintinnid, Protoperidinium, Mesodinium, Asterionellopsis</t>
  </si>
  <si>
    <t>IFCB re-deply</t>
  </si>
  <si>
    <t>1.5 - 5</t>
  </si>
  <si>
    <t>light-mod</t>
  </si>
  <si>
    <t>Leptocylindros</t>
  </si>
  <si>
    <t>Stephanopyxsis, Chaetoceros, Cylindrotheca</t>
  </si>
  <si>
    <t>Ditylum, Asterionellopsis, Plagiogrammopsis, Skeletonema, Protoperidinium, N. acicularis, Eucampia, Tintinnid, Pennate diatom, Tiarrina, Coscinodiscus, Dictyocha, Thalassiosira, zooplankton, Ephemera, Gyrosigma, Tree branch phyto, Actinoptychus, ciliate, Pseudo-nitzschia (p/m, a/f/h, pd/d), Thalassionema</t>
  </si>
  <si>
    <t>no current, numerous large jellyfish</t>
  </si>
  <si>
    <t>4.2</t>
  </si>
  <si>
    <t>&gt; 3</t>
  </si>
  <si>
    <t>3 - 4.5</t>
  </si>
  <si>
    <t>Ditylum, Pseudo-nitzschia (p/m)</t>
  </si>
  <si>
    <t>Protoperidinium, Cylindrotheca, Dactiliosolen, Tintinnd, N. acicularis, Tiarrina, Thalassionema, Thalassiosira, Pseudo-nitzschia (pd/d), pennate diatom, Stephanopyxsis, Ephemera, Mesodinium, ciliate, Dictyocha, Noctiluca, Dinophysis norvegica and acuminata</t>
  </si>
  <si>
    <t>light current, low tide, salinity from surface to about 1.25-1.5 m at 20 or lower, salinity in our water grab at 1.5m showed about 18 with refractometer. chlorophyll was highest at lower than 3m depth, so it's possible our grab sample was more from the fresh water layer this time. the assemblage of phytoplnakton was markedly sparser than last sampling.</t>
  </si>
  <si>
    <t>Pseudo-nitzschia (p/m)</t>
  </si>
  <si>
    <t>Ditylum</t>
  </si>
  <si>
    <t>Eucampia, Rhizosolenia, N. acicularis, Pseudo-nitzschia (pd/d), Mesodinium, large ciliates, Cylindrotheca, Heterocapsa, Protoperidinium, Lauderia, Chaetoceros, Skeletonema, Pluerosigma, Thalssiosira, Detonula, Tintinnid</t>
  </si>
  <si>
    <t>no current, Pn count = 65,330 cells/L in whole water (~98% large Pn)</t>
  </si>
  <si>
    <t>cloudy/rain</t>
  </si>
  <si>
    <t>1 - 2</t>
  </si>
  <si>
    <t>Heterocapsa</t>
  </si>
  <si>
    <t>Noctiluca, Coscinodiscus, large ciliates</t>
  </si>
  <si>
    <t>Amylax, Tintinnids, N. acicularis, Thalassiosira, Mesodinium, Cylindrotheca, Protoperidinium, Skeletonema, Pseudo-nitzschia (p/m), Chaetoceros, Plagiogrammopsis, zooplankton, Asteromphalus, Oxyphysis, Stephanopyxsis, Pluerosigma, Dictyocha, Ditylum</t>
  </si>
  <si>
    <t>no current, chlorophyll uniform throughout profile</t>
  </si>
  <si>
    <t>.5</t>
  </si>
  <si>
    <t>1.5 - 2.5</t>
  </si>
  <si>
    <t>Dinoflagellates: cf Gymnodinium</t>
  </si>
  <si>
    <t>Scripsiella, Heterocapsa</t>
  </si>
  <si>
    <t>Akashiwo, Dinophysis, Dictyocha, Tintinnids, Ceratium fusus, zooplankton, N. acicularis, large ciliates, Tiariinna, cf Heterosigma, Protoperidinium, Pseudo-nitzschia (p/m), Amylax, Pluerosigma, Asteromphalus, clam larvae</t>
  </si>
  <si>
    <t>overcast/rain</t>
  </si>
  <si>
    <t>cf Gymnodinium</t>
  </si>
  <si>
    <t>Dictyocha, Dinophysis</t>
  </si>
  <si>
    <t>Tiarrina, large ciliate, C. fusus, tintinnid, Amylax, Ebria, Protoperidinium, N. acicularis, Thalassiosira, Akashiwo</t>
  </si>
  <si>
    <t>no current before retireval, but dam opened while running Emilies samples, high tide</t>
  </si>
  <si>
    <t>0.5 - 1</t>
  </si>
  <si>
    <t>Heterosigma</t>
  </si>
  <si>
    <t>Ceratium fusus, Dinophysis</t>
  </si>
  <si>
    <t xml:space="preserve">Very low tide. Water very brown (Heterosigma bloom). Count of Heterosigma from whole water was 144,000,000 cells/L. Mark mentioned the water being brown since the previous weekend. No current flowing during time we were there (no dam opening). Problems with connecting to IFCB (Windows). Very high chlorophyll readings at surface to about 1 m. May not have a 2nd sample file, or a complete 2nd sample file, for Emilie. Could tell the IFCB cage was resting on the bottom when we lowered it back down. Estimate it was about 6 inches.. although it seemed like most of that was taken up by the cage sinking into the mud because the hanging line was still fairly taut. </t>
  </si>
  <si>
    <t>2 - 3</t>
  </si>
  <si>
    <t>Clear water, not much in water sample. High tide.</t>
  </si>
  <si>
    <t>surface - 1.5</t>
  </si>
  <si>
    <t>0.5 - 1.5</t>
  </si>
  <si>
    <t>0 - 2.5</t>
  </si>
  <si>
    <t>cf Verrucophora farcimen (naked, rounded dinoflagellate) Akashiwo-like but no girdle band showing and bumpy margin</t>
  </si>
  <si>
    <t>Heterosimga, C. fusus, Akashiwo sanguinea</t>
  </si>
  <si>
    <t>Scripsiella, Dinophysis, Cylindrotheca, Detonula, cf Alexandrium, fecal pellets, detritus, Pluerosigma, N. acicularis, zooplankton, Coscinodiscus, Oxyphysis, Eucampia, Noctiluca, ciliates</t>
  </si>
  <si>
    <t>no current during time of sampling, redeployment of IFCB</t>
  </si>
  <si>
    <t>run time</t>
  </si>
  <si>
    <t>ml IFCB syringe volume (sample volume)</t>
  </si>
  <si>
    <t>0 - 1</t>
  </si>
  <si>
    <t>cf Verrucophora farcimen, Akashiwo, C. fusus, Heterosigma</t>
  </si>
  <si>
    <t>large cf Scripsiella, Noctiluca, N. acicularis, large cilliate, pennate diatom, Eucampis, Thalassiosira, Protoceratium, Scripsiella, Tiarrina, zooplankton, Protoperidinium</t>
  </si>
  <si>
    <t>inhibit time</t>
  </si>
  <si>
    <t>ml actual IFCB sample volume</t>
  </si>
  <si>
    <t>small Chaetoceros sp.</t>
  </si>
  <si>
    <t>C. fusus, Skeletonema, Noctiluca, Dinophysis, Thalssiosira, cf Verrucophora facimen, Cylindrotheca, Akashiwo, Thalassionema, other Chaetoceros spp., Oxyphysis, fecal pellets, Pluerosigma, pennate diatom, N. acicularis, fish larvae, zooplankton, Ephemera, Protoceratium, Coscinodiscus, ciliate, Ditylum, Ebria</t>
  </si>
  <si>
    <t>no current and very clear water</t>
  </si>
  <si>
    <t>total time (5 mL sample)</t>
  </si>
  <si>
    <t>actual count of cf V. farcimen in IFCB sample (D20220803TT065932_IFCB150)</t>
  </si>
  <si>
    <t>1.25</t>
  </si>
  <si>
    <t>Thalassiosira, other Chaetoceros spp., Protoceratium, Prorocentrum, Pseudo-nitzschia (p/m), Skeletonema, Ditylum, Tintinnids, Ephemera, Scripsiella, Pluerosigma, N. acicularis, Thalassionema, large cilliates, Euglenoid, Noctiluca, Eucampia, fecal pellets, Tiarrina, zooplankton, Cylindrotheca, Leptocylindros, C. socialis, Protoperidinium, Bacillaria, Melosira</t>
  </si>
  <si>
    <t>actual cell/mL in water</t>
  </si>
  <si>
    <t>Leptocylindros, A. sanguinea</t>
  </si>
  <si>
    <t>Thalassiosira, Cylindrotheca, Chaetoceros, Thalassionema, Prorocentrum, Coscinodiscus, Eucampia, N. acicularis, large ciliate, Tiarrina, Skeletonema, Detonula, zooplankton, Asteromphalus, fecal pellet, Ceratium, Guinardia, Ditylum, Noctiluca, Mesodinium, Protoperidinium, Hemiaulus, Euglenoid</t>
  </si>
  <si>
    <t>no current, fairly clear water, high tide</t>
  </si>
  <si>
    <t>Thalassiosira, Leptocylindros</t>
  </si>
  <si>
    <t>Dinophysis, Scripsiella, Actinoptychus, Euglenoid, Skeletonema, Heterosigma, A. sanguinea, Tiarrina, Tintinnids, Ciliates, Cylindrotheca, Pseudo-nitzschia (p/m), Protoperidinium, Chaetoceros, Thalassionema, cf Verrucophora farcimen, N. acicularis, C. fusus, cf Alexandrium, Rhizosolenia, Oxyphysis, Noctiluca</t>
  </si>
  <si>
    <t>no current, low tide, much lower biomass (mostly lower diatom biomass) overall than last week</t>
  </si>
  <si>
    <t>no current, low tide, cleaning IFCB</t>
  </si>
  <si>
    <t>no current, high tide, IFCB retrieval</t>
  </si>
  <si>
    <t>&gt; 2</t>
  </si>
  <si>
    <t>2 - 7</t>
  </si>
  <si>
    <t>Chaetocero (socialis, debilis, others), Thalassiosira</t>
  </si>
  <si>
    <t>Detonula, Odontella, Rhizosolenia, Melosira, Thalassionema, Protoperidinium, Navicula, Pluerosigma, large Pn frustules, Ephemera, large ciliates, Guiinardia, rotifers, tintinnids, Corethron, Actinoptychus, Dictyocha</t>
  </si>
  <si>
    <t>diatom dominant</t>
  </si>
  <si>
    <t>6</t>
  </si>
  <si>
    <t>&gt; 1.8</t>
  </si>
  <si>
    <t>2 - 6</t>
  </si>
  <si>
    <t>gusty</t>
  </si>
  <si>
    <t>Chaetoceros, Thalassiosira</t>
  </si>
  <si>
    <t>Rhizosolenia, Pluerosigma, Pennate diatom, Tintinnids, Detonula, Skeletonema, Thalassionema, large Pseudo-nitzschia (p/m type), Ditylum, Actinoptychus, Ephemera, Guinardia</t>
  </si>
  <si>
    <t>3.75</t>
  </si>
  <si>
    <t>2.25</t>
  </si>
  <si>
    <t>2.8</t>
  </si>
  <si>
    <t>2.25 - 3.5</t>
  </si>
  <si>
    <t>Actinoptychus, Coscinodiscus, Pluerosigma, Plagiogrammopsis, Navicula, Noctiluca, Zooplankton, Tintinnids, Rhizosolenia, Ditylum, Ephemera, Cylindrotheca, Protoperidinium, Dictyocha, Thalassionema, ciliate</t>
  </si>
  <si>
    <t>sampling depth of IFCB measured to 60 inches (1.5 m), Thalassiosira @ about 36,500 cells/L @ 1.5m, no Dinophysis or Mesodinium seen</t>
  </si>
  <si>
    <t>Dictyocha, Tintinnids</t>
  </si>
  <si>
    <t>Akashiwo, Cylindrotheca, Ebria, Guinardia (straight chain), Protoperidinium, ciliate, Pluerosigma, pennate diatom, Lauderia, Chaetoceros, Nitzschia, Thalassionema, zooplankton, Rhizosolenia, Skeletonema, Plaggiogrammopsis</t>
  </si>
  <si>
    <t>2.6</t>
  </si>
  <si>
    <t>2.2</t>
  </si>
  <si>
    <t>Chaetoceros debilis</t>
  </si>
  <si>
    <t>large Pseudo-nitzschia (p/m, ~ 7,200 cells/L)</t>
  </si>
  <si>
    <t>small Peudo-nitzschia, Dictyocha, Nitzschia, Tintinnids, Eucampia, other Chaetoceros spp., Ephemera, Scripsiella, Pluerodigma, Rhizosolenia, Guinardia (straight), Odontella, Protoperidinium, Thalssionema, Ciliates, zooplankton, Gymnodinium, Detonula, Thalassiosira, Bacillaria</t>
  </si>
  <si>
    <t>1.3</t>
  </si>
  <si>
    <t>large Pseudo-nitzschia (p/m, ~ 66,000 cells/L), Rhizosolenia, C. socialis</t>
  </si>
  <si>
    <t>Ephemera, other Chaetoceros spp., Phalacroma, Protoperidinium, Nitzschia, Thalassiosira, Tintinnids, Cyllindrotheca, clam larvae, Dictyocha, Guinardia (straight chain), Pluerosigma, Noctiluca, Tripos fusus, Scrippsiella,  cilicates, Thalassionema, fish larvae, zooplankton, Phaeocystis, Navicula, Dinophysis, Heterocapsa triquetra</t>
  </si>
  <si>
    <t>changed intake filter, redeployed salinity meters (1.5 and 3 m depths), barnacles starting to pull electrical tape off IFCB housing</t>
  </si>
  <si>
    <t>2.1</t>
  </si>
  <si>
    <t>1.6</t>
  </si>
  <si>
    <t>Pseudo-nitzschia (large, pm type) (700,000 - 900,000 cells/L)</t>
  </si>
  <si>
    <t>Thalassiosira, Chaetoceros, Ephemera, ciliates, tintinnids, Dictyocha, Pluerosigma, Protoperidiniium, Thalassionema, Gonyaulax, Noctiluca, Cylindrotheca, Scripsiella, Tripos fusus, Nitzschia</t>
  </si>
  <si>
    <t>re-wrapped IFCB, changed intake filter</t>
  </si>
  <si>
    <t>2.2 - 3.5</t>
  </si>
  <si>
    <t>2 - 3.8</t>
  </si>
  <si>
    <t>tbd</t>
  </si>
  <si>
    <t>Pseudo-nitzschia (large, pm type) (Live Pn cells: 112,500 cells/L @ 1m; 332,000 cells/L @ 1.5m; 1,119,000 cells/L @ 2m; 1,380,000 cells/L @ 3m)(Dead Pn cells: 20,750 cells/L @ 1m[16%]; 84,000 cells/L @ 1.5m[20%]; 244,000 cells/L @ 2m[18%]; 560,000 cells/L @ 3m[29%])</t>
  </si>
  <si>
    <t>Protoperidinium, Chaetoceros, Tiarrina, Detonula, Culindrotheca, pennate diatom, Tripos fusus, Nitzschia, Noctiluca, zooplankton, Dinophysis (D. acuminta, D. fortii, D. norvegica [@ 1m], D. parva [@ 2m]), Scripsiella, Pluerosigma, Dictyocha, Eucampia [@ 2m]</t>
  </si>
  <si>
    <t>changed intake filter, downloaded salinity data and cleaned sensors</t>
  </si>
  <si>
    <t>1.9</t>
  </si>
  <si>
    <t>Pseudo-nitzschia (large, pm type) (Pn cells:  @ 1m 47,125 cells/L, 7% Live cells, 93% Dead cells; @ 1.5m 378,000 cells/L, 57% Live cells, 43% Dead cells; @ 2m 490,000 cells/L, 77% Live cells, 23% Dead cells; @ 3m 228,000 cells/L, 45% Live cells, 55% Ded cells; @ 4m 317,000 cells/L, 67&amp; Live cells, 33% Dead cells)</t>
  </si>
  <si>
    <t>cf Alexandrium, Dinophysis (438 cells/L @ 1m, 57% D. fortii, 29% D. norvegica; 313 cells/L @ 2m, 60% D. norvegica, 20% D. fortii, 20% D. acuminata; 63 cells/L @ 3m, 100% D. acuminata; 0 cells/L @ 4m), Tintinnid, Protoperidinium, Scripsiella, cf Gymnodinium, Thalassiosira, Pluerosigma, pennate diatom, Chaetoceros, small dinoflagellate, Tripos fusus, Detonula, Akashiwo, Phalacroma, Actinoptychus</t>
  </si>
  <si>
    <t>Changed intake filter assembly on IFCB. Floculant layer on/near surface of water at Olympia Yacht Club (a sample of this was taken and it looked like this was mostly Noctiluca and mats of dead plankton).</t>
  </si>
  <si>
    <t>Tintinnids, Noctiluca</t>
  </si>
  <si>
    <t>cf Gymnodinium, dead Pn (p/m type), Tripos fusus, Tiarrina, Protoperidinium, large ciliates, Scripsiella, Cylindrotheca, Phalacroma, Heterocapsa triquetra, Dictyocha, cf Alexandrium, pennate diatom</t>
  </si>
  <si>
    <t>Changed filter intake assembly. Diagnosed power issues and IFCB sampling issues (Pump1 failure) with Alexis.</t>
  </si>
  <si>
    <t>0.6</t>
  </si>
  <si>
    <t>Tripos fusus (25,700 cells/L), Polykrikos  (23,000 cells/L)</t>
  </si>
  <si>
    <t>Tiarina fusus</t>
  </si>
  <si>
    <t>Akashiwo, Tintinnids, large ciliates, Dinophysis, P. gracile, Protoperidinium, cf Gymnodinium, Scripsiella, Pluerosigma, Phalacroma, Thalassiosira, cf V. farcimen, Euglenoid, cf Alexandrium, zooplankton, Noctiluca, Navicula, Nitzschia acicularis, Cylindrotheca</t>
  </si>
  <si>
    <t>Changed out intake filter assembly</t>
  </si>
  <si>
    <t>0.4</t>
  </si>
  <si>
    <t>0.1</t>
  </si>
  <si>
    <t>0.25</t>
  </si>
  <si>
    <t>Tripos fusus (150,000 cells/L), small Chaetoceros sp.</t>
  </si>
  <si>
    <t>Actinoptychus, Cylindrotheca, ciliates, Akashiwo, Pyramimonas, Protoperidinium, Tiarina, Prorocentrum gracile, Tintinnds, cf V. farcimen, Coscinodiscus, Eucampia, Pluerosigma, Detonula, Guinardia, Phalacroma, Thalassiosira</t>
  </si>
  <si>
    <t>Changed out intake filter assembly, Low tide</t>
  </si>
  <si>
    <t>0.9</t>
  </si>
  <si>
    <t>extreme</t>
  </si>
  <si>
    <t>Tripos fusus (370,000 cells/L), Akashiwo sanguinea (245,000 cells/L)</t>
  </si>
  <si>
    <t>Prorocentrum gracile, Ditylum, Thalassiosira, Chaetoceros, Protoperidinium, Tiarrina, Phalacroma, Tintinnid, Skeletonema, Ciliate, Noctiluca</t>
  </si>
  <si>
    <t>Changed out intake filter assembly, High tide</t>
  </si>
  <si>
    <t>1.4</t>
  </si>
  <si>
    <t>0 - 3</t>
  </si>
  <si>
    <t>Tripos fusus (392,000 cells/L)</t>
  </si>
  <si>
    <t>Akashiwo sanguinea</t>
  </si>
  <si>
    <t>cf Protoceratium reticulatum, Tintinnids, Gonyaulax, Dinophysis, Scripsiella, Nitzschia acicularis, Prorocentrum gracile, Protoperidinium, Actinoptychus, Thalassiosira, Noctiluca, Phalacroma, Ciliate, Tiarrina</t>
  </si>
  <si>
    <t>Changed out intake filter, cleaned salinity sensors</t>
  </si>
  <si>
    <t>Tripos fusus, Akashiwo sanguinea</t>
  </si>
  <si>
    <t>Pseudo-nitzschia (p/m) (approx 90% empty frustules)</t>
  </si>
  <si>
    <t>Thalassiosira, Ditylum, Eucampia, Cylindrotheca, Protoperidinium, pennate, Rhizosolenia, zooplankton,Chaetcoerpos, Detonula, Guinardia (straight chain), Phalacroma, cf Vicicitus globsus (aka. cf Vurrucophora farcimen), Skeletonema, Coscinodicus, Leptocylindrus, Tiarrina, Nitzschia acicularis, Polykrikos, Dinophysis, Actinoptychus, Ephemera</t>
  </si>
  <si>
    <t>Changed intake filter, I could not connect to IFCB via IFCB acquire when I arrived, Alexis indicated the IFCB was off when she checked, Alexis power cycled and IFCB was OK</t>
  </si>
  <si>
    <t>0.5</t>
  </si>
  <si>
    <t>Tripos fusus (102,000 cells/L)</t>
  </si>
  <si>
    <t>Prorocentrum micans, Pseudo-nitzschia (p/m type)</t>
  </si>
  <si>
    <t>Leptocylindros, Protoperidinium, fish larvae, Odontella, Actinoptychus, Phalacroma, Skeletonema, Cylindrotheca, Chaetoceros, Tintinnid, Coscinodiscus, Tiarrina, Thalasionema, Ditylum, Thalassiosira, Ephemera, Akashiwo, Guinardia (straight chain), Noctiluca, Ciliate, Rhizosolenia, Hemiaulus, Dinophysis</t>
  </si>
  <si>
    <t>0.5 - 2</t>
  </si>
  <si>
    <t>Tripos fusus (428,000 cells/L)</t>
  </si>
  <si>
    <t>Odontella</t>
  </si>
  <si>
    <t>Dinophysis, Leptocylindros, Skeletonema, Heterocapsa, Thalassiosira, Protoperidinium, Scripsiella, Rhizosolenia, Tiarrina, Prorocentrum, Coscinodiscus, Nitzschia, Guinardia, Chaetoceros, Ciliate, pennate diatom, Phalacroma, Ditylum, Tintinnid, Akashiwo, Actinoptychus</t>
  </si>
  <si>
    <t>Changed out intake filter</t>
  </si>
  <si>
    <t>Tripos fusus</t>
  </si>
  <si>
    <t>Dinophysis, Akashiwo, Protoperidinium, Phalacroma, Nitzschia, Chaetoceros, Cylindrotheca, Tintinnid, Actinoptychus, Detonula, Ephemera, Plaggiogramopsis, Noctiluca, Polykrikos, invertebrate larvae, Leptocylindros, Prorocentrum, Euglenoid, Tiarrina, zooplankton, Odontella</t>
  </si>
  <si>
    <t>water sample only, no IFCB in water</t>
  </si>
  <si>
    <t>small Chaetcoreos sp.</t>
  </si>
  <si>
    <t>Akashiwo, Skeletonema</t>
  </si>
  <si>
    <t>Ditylum, Thalassiosira, Tripos fusus, Ephemera, Odontella, Protoperidinium, Torodinium, Detonula, Phalacroma, Coscinodiscus, Actinoptychus, Stephanopyxsis, Prorocentrum micans, Chaetoceros socialis, Tintinnids, Cylindrotheca, Euglenoid, Leptocylindros, Eucampia</t>
  </si>
  <si>
    <t>water sample only, no IFCB in water, (cleaned salinity sensors, retrieved data, and redeployed)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</si>
</sst>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3">
    <font>
      <sz val="12.0"/>
      <color theme="1"/>
      <name val="Calibri"/>
      <scheme val="minor"/>
    </font>
    <font>
      <sz val="12.0"/>
      <color theme="1"/>
      <name val="Arial"/>
    </font>
    <font>
      <sz val="12.0"/>
      <color rgb="FF000000"/>
      <name val="Arial"/>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164" xfId="0" applyAlignment="1" applyFont="1" applyNumberFormat="1">
      <alignment shrinkToFit="0" wrapText="1"/>
    </xf>
    <xf borderId="0" fillId="0" fontId="1" numFmtId="19" xfId="0" applyAlignment="1" applyFont="1" applyNumberFormat="1">
      <alignment shrinkToFit="0" wrapText="1"/>
    </xf>
    <xf borderId="0" fillId="0" fontId="1" numFmtId="0" xfId="0" applyAlignment="1" applyFont="1">
      <alignment horizontal="center" shrinkToFit="0" wrapText="1"/>
    </xf>
    <xf borderId="0" fillId="0" fontId="1" numFmtId="49" xfId="0" applyAlignment="1" applyFont="1" applyNumberFormat="1">
      <alignment horizontal="center" shrinkToFit="0" wrapText="1"/>
    </xf>
    <xf borderId="0" fillId="0" fontId="1" numFmtId="0" xfId="0" applyAlignment="1" applyFont="1">
      <alignment horizontal="center" readingOrder="0" shrinkToFit="0" wrapText="1"/>
    </xf>
    <xf borderId="1" fillId="0" fontId="1" numFmtId="0" xfId="0" applyAlignment="1" applyBorder="1" applyFont="1">
      <alignment horizontal="center" readingOrder="0" shrinkToFit="0" wrapText="1"/>
    </xf>
    <xf borderId="1" fillId="2" fontId="1" numFmtId="0" xfId="0" applyAlignment="1" applyBorder="1" applyFill="1" applyFont="1">
      <alignment horizontal="center" shrinkToFit="0" wrapText="1"/>
    </xf>
    <xf borderId="0" fillId="0" fontId="1" numFmtId="165" xfId="0" applyAlignment="1" applyFont="1" applyNumberFormat="1">
      <alignment horizontal="center"/>
    </xf>
    <xf borderId="0" fillId="0" fontId="1" numFmtId="0" xfId="0" applyFont="1"/>
    <xf borderId="0" fillId="0" fontId="1" numFmtId="0" xfId="0" applyAlignment="1" applyFont="1">
      <alignment shrinkToFit="0" wrapText="1"/>
    </xf>
    <xf borderId="0" fillId="0" fontId="1" numFmtId="0" xfId="0" applyFont="1"/>
    <xf borderId="0" fillId="0" fontId="1" numFmtId="164" xfId="0" applyFont="1" applyNumberFormat="1"/>
    <xf borderId="0" fillId="0" fontId="1" numFmtId="19" xfId="0" applyFont="1" applyNumberFormat="1"/>
    <xf borderId="0" fillId="0" fontId="1" numFmtId="0" xfId="0" applyAlignment="1" applyFont="1">
      <alignment horizontal="center"/>
    </xf>
    <xf borderId="0" fillId="0" fontId="1" numFmtId="49" xfId="0" applyAlignment="1" applyFont="1" applyNumberFormat="1">
      <alignment horizontal="center"/>
    </xf>
    <xf borderId="0" fillId="0" fontId="1" numFmtId="1" xfId="0" applyAlignment="1" applyFont="1" applyNumberFormat="1">
      <alignment horizontal="center"/>
    </xf>
    <xf borderId="1" fillId="3" fontId="2" numFmtId="0" xfId="0" applyAlignment="1" applyBorder="1" applyFill="1" applyFont="1">
      <alignment horizontal="center"/>
    </xf>
    <xf borderId="1" fillId="3" fontId="2" numFmtId="165" xfId="0" applyAlignment="1" applyBorder="1" applyFont="1" applyNumberFormat="1">
      <alignment horizontal="center"/>
    </xf>
    <xf borderId="1" fillId="3" fontId="2" numFmtId="0" xfId="0" applyBorder="1" applyFont="1"/>
    <xf borderId="0" fillId="0" fontId="1" numFmtId="1" xfId="0" applyAlignment="1" applyFont="1" applyNumberFormat="1">
      <alignment horizontal="center" readingOrder="0"/>
    </xf>
    <xf borderId="0" fillId="0" fontId="1" numFmtId="165" xfId="0" applyFont="1" applyNumberForma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1.78"/>
    <col customWidth="1" min="2" max="2" width="12.67"/>
    <col customWidth="1" min="3" max="3" width="8.78"/>
    <col customWidth="1" min="4" max="6" width="7.11"/>
    <col customWidth="1" min="7" max="7" width="7.33"/>
    <col customWidth="1" min="8" max="8" width="7.11"/>
    <col customWidth="1" min="9" max="9" width="10.78"/>
    <col customWidth="1" min="10" max="10" width="14.44"/>
    <col customWidth="1" min="11" max="11" width="9.11"/>
    <col customWidth="1" min="12" max="12" width="8.44"/>
    <col customWidth="1" min="13" max="13" width="4.78"/>
    <col customWidth="1" min="14" max="14" width="5.33"/>
    <col customWidth="1" min="15" max="15" width="11.67"/>
    <col customWidth="1" min="16" max="16" width="7.67"/>
    <col customWidth="1" min="17" max="18" width="12.0"/>
    <col customWidth="1" min="19" max="19" width="11.11"/>
    <col customWidth="1" min="20" max="20" width="11.44"/>
    <col customWidth="1" min="21" max="21" width="9.44"/>
    <col customWidth="1" min="22" max="22" width="12.33"/>
    <col customWidth="1" min="23" max="23" width="7.78"/>
    <col customWidth="1" min="24" max="24" width="11.11"/>
    <col customWidth="1" min="25" max="25" width="5.67"/>
    <col customWidth="1" min="26" max="27" width="4.89"/>
    <col customWidth="1" min="28" max="29" width="4.0"/>
    <col customWidth="1" min="30" max="31" width="3.89"/>
    <col customWidth="1" min="32" max="32" width="10.78"/>
    <col customWidth="1" min="33" max="33" width="7.11"/>
    <col customWidth="1" min="34" max="34" width="9.33"/>
    <col customWidth="1" min="35" max="35" width="9.11"/>
    <col customWidth="1" min="36" max="36" width="8.78"/>
    <col customWidth="1" min="37" max="37" width="12.44"/>
    <col customWidth="1" min="38" max="38" width="20.44"/>
    <col customWidth="1" min="39" max="39" width="19.44"/>
    <col customWidth="1" min="40" max="40" width="45.78"/>
    <col customWidth="1" min="41" max="41" width="26.33"/>
    <col customWidth="1" min="42" max="52" width="10.44"/>
  </cols>
  <sheetData>
    <row r="1" ht="15.75" customHeight="1">
      <c r="A1" s="1" t="s">
        <v>0</v>
      </c>
      <c r="B1" s="2" t="s">
        <v>1</v>
      </c>
      <c r="C1" s="3" t="s">
        <v>2</v>
      </c>
      <c r="D1" s="4" t="s">
        <v>3</v>
      </c>
      <c r="E1" s="4" t="s">
        <v>4</v>
      </c>
      <c r="F1" s="4" t="s">
        <v>5</v>
      </c>
      <c r="G1" s="4" t="s">
        <v>6</v>
      </c>
      <c r="H1" s="4" t="s">
        <v>7</v>
      </c>
      <c r="I1" s="4" t="s">
        <v>8</v>
      </c>
      <c r="J1" s="3" t="s">
        <v>9</v>
      </c>
      <c r="K1" s="3" t="s">
        <v>10</v>
      </c>
      <c r="L1" s="3" t="s">
        <v>11</v>
      </c>
      <c r="M1" s="3" t="s">
        <v>12</v>
      </c>
      <c r="N1" s="3" t="s">
        <v>13</v>
      </c>
      <c r="O1" s="3" t="s">
        <v>14</v>
      </c>
      <c r="P1" s="3" t="s">
        <v>15</v>
      </c>
      <c r="Q1" s="5" t="s">
        <v>16</v>
      </c>
      <c r="R1" s="5" t="s">
        <v>17</v>
      </c>
      <c r="S1" s="3" t="s">
        <v>18</v>
      </c>
      <c r="T1" s="3" t="s">
        <v>19</v>
      </c>
      <c r="U1" s="3" t="s">
        <v>20</v>
      </c>
      <c r="V1" s="3" t="s">
        <v>21</v>
      </c>
      <c r="W1" s="3" t="s">
        <v>22</v>
      </c>
      <c r="X1" s="3" t="s">
        <v>23</v>
      </c>
      <c r="Y1" s="6" t="s">
        <v>24</v>
      </c>
      <c r="Z1" s="6" t="s">
        <v>25</v>
      </c>
      <c r="AA1" s="6" t="s">
        <v>26</v>
      </c>
      <c r="AB1" s="6" t="s">
        <v>27</v>
      </c>
      <c r="AC1" s="6" t="s">
        <v>28</v>
      </c>
      <c r="AD1" s="6" t="s">
        <v>29</v>
      </c>
      <c r="AE1" s="6" t="s">
        <v>30</v>
      </c>
      <c r="AF1" s="7" t="s">
        <v>31</v>
      </c>
      <c r="AG1" s="7" t="s">
        <v>32</v>
      </c>
      <c r="AH1" s="7" t="s">
        <v>33</v>
      </c>
      <c r="AI1" s="7" t="s">
        <v>34</v>
      </c>
      <c r="AJ1" s="7" t="s">
        <v>35</v>
      </c>
      <c r="AK1" s="8" t="s">
        <v>36</v>
      </c>
      <c r="AL1" s="9" t="s">
        <v>37</v>
      </c>
      <c r="AM1" s="9" t="s">
        <v>38</v>
      </c>
      <c r="AN1" s="9" t="s">
        <v>39</v>
      </c>
      <c r="AO1" s="10" t="s">
        <v>40</v>
      </c>
      <c r="AP1" s="11"/>
      <c r="AQ1" s="10"/>
      <c r="AR1" s="10"/>
      <c r="AS1" s="10"/>
      <c r="AT1" s="10"/>
      <c r="AU1" s="10"/>
      <c r="AV1" s="10"/>
      <c r="AW1" s="10"/>
      <c r="AX1" s="10"/>
      <c r="AY1" s="10"/>
      <c r="AZ1" s="10"/>
    </row>
    <row r="2" ht="15.75" customHeight="1">
      <c r="A2" s="12">
        <v>44298.0</v>
      </c>
      <c r="B2" s="13">
        <v>0.46875</v>
      </c>
      <c r="C2" s="14">
        <v>4.6</v>
      </c>
      <c r="D2" s="15" t="s">
        <v>41</v>
      </c>
      <c r="E2" s="15" t="s">
        <v>42</v>
      </c>
      <c r="F2" s="15" t="s">
        <v>42</v>
      </c>
      <c r="G2" s="15" t="s">
        <v>43</v>
      </c>
      <c r="H2" s="15" t="s">
        <v>43</v>
      </c>
      <c r="I2" s="15" t="s">
        <v>42</v>
      </c>
      <c r="J2" s="14" t="s">
        <v>44</v>
      </c>
      <c r="K2" s="14" t="s">
        <v>45</v>
      </c>
      <c r="L2" s="14" t="s">
        <v>46</v>
      </c>
      <c r="M2" s="14" t="s">
        <v>47</v>
      </c>
      <c r="N2" s="14" t="s">
        <v>47</v>
      </c>
      <c r="O2" s="14" t="s">
        <v>48</v>
      </c>
      <c r="P2" s="14">
        <v>1.5</v>
      </c>
      <c r="Q2" s="16" t="s">
        <v>46</v>
      </c>
      <c r="R2" s="16" t="s">
        <v>46</v>
      </c>
      <c r="S2" s="14" t="s">
        <v>46</v>
      </c>
      <c r="T2" s="14" t="s">
        <v>46</v>
      </c>
      <c r="U2" s="14" t="s">
        <v>46</v>
      </c>
      <c r="V2" s="14" t="s">
        <v>46</v>
      </c>
      <c r="W2" s="14" t="s">
        <v>46</v>
      </c>
      <c r="X2" s="14" t="s">
        <v>46</v>
      </c>
      <c r="Y2" s="16" t="s">
        <v>46</v>
      </c>
      <c r="Z2" s="16" t="s">
        <v>46</v>
      </c>
      <c r="AA2" s="16" t="s">
        <v>46</v>
      </c>
      <c r="AB2" s="16" t="s">
        <v>46</v>
      </c>
      <c r="AC2" s="16" t="s">
        <v>46</v>
      </c>
      <c r="AD2" s="16" t="s">
        <v>46</v>
      </c>
      <c r="AE2" s="16" t="s">
        <v>46</v>
      </c>
      <c r="AF2" s="14"/>
      <c r="AG2" s="14"/>
      <c r="AH2" s="14"/>
      <c r="AI2" s="14"/>
      <c r="AJ2" s="14"/>
      <c r="AK2" s="8">
        <v>0.7</v>
      </c>
      <c r="AL2" s="9"/>
      <c r="AM2" s="9"/>
      <c r="AN2" s="9"/>
      <c r="AO2" s="11"/>
      <c r="AP2" s="11"/>
      <c r="AQ2" s="11"/>
      <c r="AR2" s="11"/>
      <c r="AS2" s="11"/>
      <c r="AT2" s="11"/>
      <c r="AU2" s="11"/>
      <c r="AV2" s="11"/>
      <c r="AW2" s="11"/>
      <c r="AX2" s="11"/>
      <c r="AY2" s="11"/>
      <c r="AZ2" s="11"/>
    </row>
    <row r="3" ht="15.75" customHeight="1">
      <c r="A3" s="12">
        <v>44307.0</v>
      </c>
      <c r="B3" s="13">
        <v>0.4375</v>
      </c>
      <c r="C3" s="14">
        <v>6.3</v>
      </c>
      <c r="D3" s="15" t="s">
        <v>41</v>
      </c>
      <c r="E3" s="15" t="s">
        <v>49</v>
      </c>
      <c r="F3" s="15" t="s">
        <v>49</v>
      </c>
      <c r="G3" s="15" t="s">
        <v>43</v>
      </c>
      <c r="H3" s="15" t="s">
        <v>43</v>
      </c>
      <c r="I3" s="15" t="s">
        <v>49</v>
      </c>
      <c r="J3" s="14" t="s">
        <v>46</v>
      </c>
      <c r="K3" s="14" t="s">
        <v>46</v>
      </c>
      <c r="L3" s="14" t="s">
        <v>46</v>
      </c>
      <c r="M3" s="14" t="s">
        <v>47</v>
      </c>
      <c r="N3" s="14" t="s">
        <v>47</v>
      </c>
      <c r="O3" s="14" t="s">
        <v>50</v>
      </c>
      <c r="P3" s="14" t="s">
        <v>51</v>
      </c>
      <c r="Q3" s="16" t="s">
        <v>46</v>
      </c>
      <c r="R3" s="16" t="s">
        <v>46</v>
      </c>
      <c r="S3" s="14" t="s">
        <v>46</v>
      </c>
      <c r="T3" s="14" t="s">
        <v>46</v>
      </c>
      <c r="U3" s="14" t="s">
        <v>46</v>
      </c>
      <c r="V3" s="14" t="s">
        <v>46</v>
      </c>
      <c r="W3" s="14" t="s">
        <v>46</v>
      </c>
      <c r="X3" s="14" t="s">
        <v>46</v>
      </c>
      <c r="Y3" s="16" t="s">
        <v>46</v>
      </c>
      <c r="Z3" s="16" t="s">
        <v>46</v>
      </c>
      <c r="AA3" s="16" t="s">
        <v>46</v>
      </c>
      <c r="AB3" s="16" t="s">
        <v>46</v>
      </c>
      <c r="AC3" s="16" t="s">
        <v>46</v>
      </c>
      <c r="AD3" s="16" t="s">
        <v>46</v>
      </c>
      <c r="AE3" s="16" t="s">
        <v>46</v>
      </c>
      <c r="AF3" s="14"/>
      <c r="AG3" s="14"/>
      <c r="AH3" s="14"/>
      <c r="AI3" s="14"/>
      <c r="AJ3" s="14"/>
      <c r="AK3" s="8" t="s">
        <v>46</v>
      </c>
      <c r="AL3" s="9"/>
      <c r="AM3" s="9"/>
      <c r="AN3" s="9"/>
      <c r="AO3" s="11"/>
      <c r="AP3" s="11"/>
      <c r="AQ3" s="11"/>
      <c r="AR3" s="11"/>
      <c r="AS3" s="11"/>
      <c r="AT3" s="11"/>
      <c r="AU3" s="11"/>
      <c r="AV3" s="11"/>
      <c r="AW3" s="11"/>
      <c r="AX3" s="11"/>
      <c r="AY3" s="11"/>
      <c r="AZ3" s="11"/>
    </row>
    <row r="4" ht="15.75" customHeight="1">
      <c r="A4" s="12">
        <v>44321.0</v>
      </c>
      <c r="B4" s="13">
        <v>0.4479166666666667</v>
      </c>
      <c r="C4" s="14">
        <v>5.5</v>
      </c>
      <c r="D4" s="15" t="s">
        <v>41</v>
      </c>
      <c r="E4" s="15" t="s">
        <v>49</v>
      </c>
      <c r="F4" s="15" t="s">
        <v>49</v>
      </c>
      <c r="G4" s="15" t="s">
        <v>43</v>
      </c>
      <c r="H4" s="15" t="s">
        <v>43</v>
      </c>
      <c r="I4" s="15" t="s">
        <v>49</v>
      </c>
      <c r="J4" s="14" t="s">
        <v>52</v>
      </c>
      <c r="K4" s="14" t="s">
        <v>45</v>
      </c>
      <c r="L4" s="14" t="s">
        <v>46</v>
      </c>
      <c r="M4" s="14" t="s">
        <v>47</v>
      </c>
      <c r="N4" s="14" t="s">
        <v>47</v>
      </c>
      <c r="O4" s="14" t="s">
        <v>53</v>
      </c>
      <c r="P4" s="14" t="s">
        <v>54</v>
      </c>
      <c r="Q4" s="16">
        <v>0.0</v>
      </c>
      <c r="R4" s="16">
        <v>0.0</v>
      </c>
      <c r="S4" s="14">
        <v>1000.0</v>
      </c>
      <c r="T4" s="14">
        <v>10.0</v>
      </c>
      <c r="U4" s="14" t="s">
        <v>46</v>
      </c>
      <c r="V4" s="14" t="s">
        <v>46</v>
      </c>
      <c r="W4" s="14" t="s">
        <v>46</v>
      </c>
      <c r="X4" s="14" t="s">
        <v>46</v>
      </c>
      <c r="Y4" s="16">
        <v>0.0</v>
      </c>
      <c r="Z4" s="16">
        <v>0.0</v>
      </c>
      <c r="AA4" s="16">
        <v>0.0</v>
      </c>
      <c r="AB4" s="16">
        <v>0.0</v>
      </c>
      <c r="AC4" s="16">
        <v>0.0</v>
      </c>
      <c r="AD4" s="16">
        <v>0.0</v>
      </c>
      <c r="AE4" s="16">
        <v>0.0</v>
      </c>
      <c r="AF4" s="14"/>
      <c r="AG4" s="14"/>
      <c r="AH4" s="14"/>
      <c r="AI4" s="14"/>
      <c r="AJ4" s="14"/>
      <c r="AK4" s="8" t="s">
        <v>46</v>
      </c>
      <c r="AL4" s="9" t="s">
        <v>55</v>
      </c>
      <c r="AM4" s="9" t="s">
        <v>56</v>
      </c>
      <c r="AN4" s="9" t="s">
        <v>57</v>
      </c>
      <c r="AO4" s="11"/>
      <c r="AP4" s="11"/>
      <c r="AQ4" s="11"/>
      <c r="AR4" s="11"/>
      <c r="AS4" s="11"/>
      <c r="AT4" s="11"/>
      <c r="AU4" s="11"/>
      <c r="AV4" s="11"/>
      <c r="AW4" s="11"/>
      <c r="AX4" s="11"/>
      <c r="AY4" s="11"/>
      <c r="AZ4" s="11"/>
    </row>
    <row r="5" ht="15.75" customHeight="1">
      <c r="A5" s="12">
        <v>44328.0</v>
      </c>
      <c r="B5" s="13">
        <v>0.4375</v>
      </c>
      <c r="C5" s="14">
        <v>4.6</v>
      </c>
      <c r="D5" s="15" t="s">
        <v>41</v>
      </c>
      <c r="E5" s="15" t="s">
        <v>49</v>
      </c>
      <c r="F5" s="15" t="s">
        <v>49</v>
      </c>
      <c r="G5" s="15" t="s">
        <v>58</v>
      </c>
      <c r="H5" s="15" t="s">
        <v>58</v>
      </c>
      <c r="I5" s="15" t="s">
        <v>59</v>
      </c>
      <c r="J5" s="14" t="s">
        <v>60</v>
      </c>
      <c r="K5" s="14" t="s">
        <v>45</v>
      </c>
      <c r="L5" s="14" t="s">
        <v>46</v>
      </c>
      <c r="M5" s="14" t="s">
        <v>47</v>
      </c>
      <c r="N5" s="14" t="s">
        <v>47</v>
      </c>
      <c r="O5" s="14" t="s">
        <v>53</v>
      </c>
      <c r="P5" s="14" t="s">
        <v>61</v>
      </c>
      <c r="Q5" s="16">
        <v>0.0</v>
      </c>
      <c r="R5" s="16">
        <v>0.0</v>
      </c>
      <c r="S5" s="14">
        <v>1000.0</v>
      </c>
      <c r="T5" s="14">
        <v>10.0</v>
      </c>
      <c r="U5" s="14" t="s">
        <v>46</v>
      </c>
      <c r="V5" s="14" t="s">
        <v>46</v>
      </c>
      <c r="W5" s="14" t="s">
        <v>46</v>
      </c>
      <c r="X5" s="14" t="s">
        <v>46</v>
      </c>
      <c r="Y5" s="16">
        <v>0.0</v>
      </c>
      <c r="Z5" s="16">
        <v>0.0</v>
      </c>
      <c r="AA5" s="16">
        <v>0.0</v>
      </c>
      <c r="AB5" s="16">
        <v>0.0</v>
      </c>
      <c r="AC5" s="16">
        <v>0.0</v>
      </c>
      <c r="AD5" s="16">
        <v>0.0</v>
      </c>
      <c r="AE5" s="16">
        <v>0.0</v>
      </c>
      <c r="AF5" s="14"/>
      <c r="AG5" s="14"/>
      <c r="AH5" s="14"/>
      <c r="AI5" s="14"/>
      <c r="AJ5" s="14"/>
      <c r="AK5" s="8" t="s">
        <v>46</v>
      </c>
      <c r="AL5" s="9" t="s">
        <v>47</v>
      </c>
      <c r="AM5" s="9" t="s">
        <v>62</v>
      </c>
      <c r="AN5" s="9" t="s">
        <v>63</v>
      </c>
      <c r="AO5" s="11"/>
      <c r="AP5" s="11"/>
      <c r="AQ5" s="11"/>
      <c r="AR5" s="11"/>
      <c r="AS5" s="11"/>
      <c r="AT5" s="11"/>
      <c r="AU5" s="11"/>
      <c r="AV5" s="11"/>
      <c r="AW5" s="11"/>
      <c r="AX5" s="11"/>
      <c r="AY5" s="11"/>
      <c r="AZ5" s="11"/>
    </row>
    <row r="6" ht="15.75" customHeight="1">
      <c r="A6" s="12">
        <v>44342.0</v>
      </c>
      <c r="B6" s="13">
        <v>0.4236111111111111</v>
      </c>
      <c r="C6" s="14">
        <v>4.3</v>
      </c>
      <c r="D6" s="15" t="s">
        <v>41</v>
      </c>
      <c r="E6" s="15" t="s">
        <v>42</v>
      </c>
      <c r="F6" s="15" t="s">
        <v>42</v>
      </c>
      <c r="G6" s="15" t="s">
        <v>43</v>
      </c>
      <c r="H6" s="15" t="s">
        <v>43</v>
      </c>
      <c r="I6" s="15" t="s">
        <v>42</v>
      </c>
      <c r="J6" s="14" t="s">
        <v>60</v>
      </c>
      <c r="K6" s="14" t="s">
        <v>45</v>
      </c>
      <c r="L6" s="14" t="s">
        <v>46</v>
      </c>
      <c r="M6" s="14" t="s">
        <v>47</v>
      </c>
      <c r="N6" s="14" t="s">
        <v>47</v>
      </c>
      <c r="O6" s="14" t="s">
        <v>48</v>
      </c>
      <c r="P6" s="14" t="s">
        <v>54</v>
      </c>
      <c r="Q6" s="16">
        <v>167.0</v>
      </c>
      <c r="R6" s="16">
        <v>167.0</v>
      </c>
      <c r="S6" s="14">
        <v>1000.0</v>
      </c>
      <c r="T6" s="14">
        <v>10.0</v>
      </c>
      <c r="U6" s="14" t="s">
        <v>46</v>
      </c>
      <c r="V6" s="14" t="s">
        <v>46</v>
      </c>
      <c r="W6" s="14" t="s">
        <v>46</v>
      </c>
      <c r="X6" s="14" t="s">
        <v>46</v>
      </c>
      <c r="Y6" s="16">
        <v>167.0</v>
      </c>
      <c r="Z6" s="16">
        <v>0.0</v>
      </c>
      <c r="AA6" s="16">
        <v>0.0</v>
      </c>
      <c r="AB6" s="16">
        <v>0.0</v>
      </c>
      <c r="AC6" s="16">
        <v>0.0</v>
      </c>
      <c r="AD6" s="16">
        <v>0.0</v>
      </c>
      <c r="AE6" s="16">
        <v>0.0</v>
      </c>
      <c r="AF6" s="14"/>
      <c r="AG6" s="14"/>
      <c r="AH6" s="14"/>
      <c r="AI6" s="14"/>
      <c r="AJ6" s="14"/>
      <c r="AK6" s="8" t="s">
        <v>46</v>
      </c>
      <c r="AL6" s="9" t="s">
        <v>47</v>
      </c>
      <c r="AM6" s="9" t="s">
        <v>64</v>
      </c>
      <c r="AN6" s="9" t="s">
        <v>65</v>
      </c>
      <c r="AO6" s="11"/>
      <c r="AP6" s="11"/>
      <c r="AQ6" s="11"/>
      <c r="AR6" s="11"/>
      <c r="AS6" s="11"/>
      <c r="AT6" s="11"/>
      <c r="AU6" s="11"/>
      <c r="AV6" s="11"/>
      <c r="AW6" s="11"/>
      <c r="AX6" s="11"/>
      <c r="AY6" s="11"/>
      <c r="AZ6" s="11"/>
    </row>
    <row r="7" ht="15.75" customHeight="1">
      <c r="A7" s="12">
        <v>44349.0</v>
      </c>
      <c r="B7" s="13">
        <v>0.4479166666666667</v>
      </c>
      <c r="C7" s="14">
        <v>6.6</v>
      </c>
      <c r="D7" s="15" t="s">
        <v>41</v>
      </c>
      <c r="E7" s="15" t="s">
        <v>49</v>
      </c>
      <c r="F7" s="15" t="s">
        <v>66</v>
      </c>
      <c r="G7" s="15" t="s">
        <v>43</v>
      </c>
      <c r="H7" s="15" t="s">
        <v>43</v>
      </c>
      <c r="I7" s="15" t="s">
        <v>67</v>
      </c>
      <c r="J7" s="14" t="s">
        <v>44</v>
      </c>
      <c r="K7" s="14" t="s">
        <v>68</v>
      </c>
      <c r="L7" s="14" t="s">
        <v>69</v>
      </c>
      <c r="M7" s="14" t="s">
        <v>47</v>
      </c>
      <c r="N7" s="14" t="s">
        <v>47</v>
      </c>
      <c r="O7" s="14" t="s">
        <v>48</v>
      </c>
      <c r="P7" s="14">
        <v>1.0</v>
      </c>
      <c r="Q7" s="16">
        <v>100.0</v>
      </c>
      <c r="R7" s="16">
        <v>100.0</v>
      </c>
      <c r="S7" s="14">
        <v>1000.0</v>
      </c>
      <c r="T7" s="14">
        <v>10.0</v>
      </c>
      <c r="U7" s="14" t="s">
        <v>46</v>
      </c>
      <c r="V7" s="14" t="s">
        <v>46</v>
      </c>
      <c r="W7" s="14" t="s">
        <v>46</v>
      </c>
      <c r="X7" s="14" t="s">
        <v>46</v>
      </c>
      <c r="Y7" s="16">
        <v>100.0</v>
      </c>
      <c r="Z7" s="16">
        <v>0.0</v>
      </c>
      <c r="AA7" s="16">
        <v>0.0</v>
      </c>
      <c r="AB7" s="16">
        <v>0.0</v>
      </c>
      <c r="AC7" s="16">
        <v>0.0</v>
      </c>
      <c r="AD7" s="16">
        <v>0.0</v>
      </c>
      <c r="AE7" s="16">
        <v>0.0</v>
      </c>
      <c r="AF7" s="14"/>
      <c r="AG7" s="14"/>
      <c r="AH7" s="14"/>
      <c r="AI7" s="14"/>
      <c r="AJ7" s="14"/>
      <c r="AK7" s="8">
        <v>5.5</v>
      </c>
      <c r="AL7" s="9" t="s">
        <v>47</v>
      </c>
      <c r="AM7" s="9" t="s">
        <v>70</v>
      </c>
      <c r="AN7" s="9" t="s">
        <v>71</v>
      </c>
      <c r="AO7" s="9"/>
      <c r="AP7" s="11"/>
      <c r="AQ7" s="11"/>
      <c r="AR7" s="11"/>
      <c r="AS7" s="11"/>
      <c r="AT7" s="11"/>
      <c r="AU7" s="11"/>
      <c r="AV7" s="11"/>
      <c r="AW7" s="11"/>
      <c r="AX7" s="11"/>
      <c r="AY7" s="11"/>
      <c r="AZ7" s="11"/>
    </row>
    <row r="8" ht="15.0" customHeight="1">
      <c r="A8" s="12">
        <v>44349.0</v>
      </c>
      <c r="B8" s="13">
        <v>0.4479166666666667</v>
      </c>
      <c r="C8" s="14">
        <v>6.6</v>
      </c>
      <c r="D8" s="15" t="s">
        <v>41</v>
      </c>
      <c r="E8" s="14" t="s">
        <v>46</v>
      </c>
      <c r="F8" s="14" t="s">
        <v>46</v>
      </c>
      <c r="G8" s="14" t="s">
        <v>46</v>
      </c>
      <c r="H8" s="14" t="s">
        <v>46</v>
      </c>
      <c r="I8" s="14" t="s">
        <v>46</v>
      </c>
      <c r="J8" s="14" t="s">
        <v>46</v>
      </c>
      <c r="K8" s="14" t="s">
        <v>46</v>
      </c>
      <c r="L8" s="14" t="s">
        <v>46</v>
      </c>
      <c r="M8" s="14" t="s">
        <v>46</v>
      </c>
      <c r="N8" s="14" t="s">
        <v>46</v>
      </c>
      <c r="O8" s="14" t="s">
        <v>46</v>
      </c>
      <c r="P8" s="14">
        <v>3.0</v>
      </c>
      <c r="Q8" s="16" t="s">
        <v>46</v>
      </c>
      <c r="R8" s="16" t="s">
        <v>46</v>
      </c>
      <c r="S8" s="14" t="s">
        <v>46</v>
      </c>
      <c r="T8" s="14" t="s">
        <v>46</v>
      </c>
      <c r="U8" s="14" t="s">
        <v>46</v>
      </c>
      <c r="V8" s="14" t="s">
        <v>46</v>
      </c>
      <c r="W8" s="14" t="s">
        <v>46</v>
      </c>
      <c r="X8" s="14" t="s">
        <v>46</v>
      </c>
      <c r="Y8" s="16" t="s">
        <v>46</v>
      </c>
      <c r="Z8" s="16" t="s">
        <v>46</v>
      </c>
      <c r="AA8" s="16" t="s">
        <v>46</v>
      </c>
      <c r="AB8" s="16" t="s">
        <v>46</v>
      </c>
      <c r="AC8" s="16" t="s">
        <v>46</v>
      </c>
      <c r="AD8" s="16" t="s">
        <v>46</v>
      </c>
      <c r="AE8" s="16" t="s">
        <v>46</v>
      </c>
      <c r="AF8" s="14"/>
      <c r="AG8" s="14"/>
      <c r="AH8" s="14"/>
      <c r="AI8" s="14"/>
      <c r="AJ8" s="14"/>
      <c r="AK8" s="8">
        <v>3.3</v>
      </c>
      <c r="AL8" s="9"/>
      <c r="AM8" s="9"/>
      <c r="AN8" s="9"/>
      <c r="AO8" s="9"/>
      <c r="AP8" s="11"/>
      <c r="AQ8" s="11"/>
      <c r="AR8" s="11"/>
      <c r="AS8" s="11"/>
      <c r="AT8" s="11"/>
      <c r="AU8" s="11"/>
      <c r="AV8" s="11"/>
      <c r="AW8" s="11"/>
      <c r="AX8" s="11"/>
      <c r="AY8" s="11"/>
      <c r="AZ8" s="11"/>
    </row>
    <row r="9" ht="15.75" customHeight="1">
      <c r="A9" s="12">
        <v>44363.0</v>
      </c>
      <c r="B9" s="13">
        <v>0.4166666666666667</v>
      </c>
      <c r="C9" s="14">
        <v>7.0</v>
      </c>
      <c r="D9" s="15" t="s">
        <v>41</v>
      </c>
      <c r="E9" s="15" t="s">
        <v>72</v>
      </c>
      <c r="F9" s="15" t="s">
        <v>42</v>
      </c>
      <c r="G9" s="15" t="s">
        <v>43</v>
      </c>
      <c r="H9" s="15" t="s">
        <v>43</v>
      </c>
      <c r="I9" s="15" t="s">
        <v>73</v>
      </c>
      <c r="J9" s="14" t="s">
        <v>60</v>
      </c>
      <c r="K9" s="14" t="s">
        <v>45</v>
      </c>
      <c r="L9" s="14" t="s">
        <v>46</v>
      </c>
      <c r="M9" s="14" t="s">
        <v>47</v>
      </c>
      <c r="N9" s="14" t="s">
        <v>47</v>
      </c>
      <c r="O9" s="14" t="s">
        <v>48</v>
      </c>
      <c r="P9" s="14">
        <v>1.0</v>
      </c>
      <c r="Q9" s="16">
        <v>667.0</v>
      </c>
      <c r="R9" s="16">
        <v>667.0</v>
      </c>
      <c r="S9" s="14">
        <v>1000.0</v>
      </c>
      <c r="T9" s="14">
        <v>10.0</v>
      </c>
      <c r="U9" s="14" t="s">
        <v>46</v>
      </c>
      <c r="V9" s="14" t="s">
        <v>46</v>
      </c>
      <c r="W9" s="14" t="s">
        <v>46</v>
      </c>
      <c r="X9" s="14" t="s">
        <v>46</v>
      </c>
      <c r="Y9" s="16">
        <v>667.0</v>
      </c>
      <c r="Z9" s="16">
        <v>0.0</v>
      </c>
      <c r="AA9" s="16">
        <v>0.0</v>
      </c>
      <c r="AB9" s="16">
        <v>0.0</v>
      </c>
      <c r="AC9" s="16">
        <v>0.0</v>
      </c>
      <c r="AD9" s="16">
        <v>0.0</v>
      </c>
      <c r="AE9" s="16">
        <v>0.0</v>
      </c>
      <c r="AF9" s="14"/>
      <c r="AG9" s="14"/>
      <c r="AH9" s="14"/>
      <c r="AI9" s="14"/>
      <c r="AJ9" s="14"/>
      <c r="AK9" s="8">
        <v>8.3</v>
      </c>
      <c r="AL9" s="9" t="s">
        <v>47</v>
      </c>
      <c r="AM9" s="9" t="s">
        <v>74</v>
      </c>
      <c r="AN9" s="9" t="s">
        <v>75</v>
      </c>
      <c r="AO9" s="11"/>
      <c r="AP9" s="11"/>
      <c r="AQ9" s="11"/>
      <c r="AR9" s="11"/>
      <c r="AS9" s="11"/>
      <c r="AT9" s="11"/>
      <c r="AU9" s="11"/>
      <c r="AV9" s="11"/>
      <c r="AW9" s="11"/>
      <c r="AX9" s="11"/>
      <c r="AY9" s="11"/>
      <c r="AZ9" s="11"/>
    </row>
    <row r="10" ht="15.75" customHeight="1">
      <c r="A10" s="12">
        <v>44378.0</v>
      </c>
      <c r="B10" s="13">
        <v>0.4270833333333333</v>
      </c>
      <c r="C10" s="14">
        <v>6.6</v>
      </c>
      <c r="D10" s="15" t="s">
        <v>41</v>
      </c>
      <c r="E10" s="15" t="s">
        <v>76</v>
      </c>
      <c r="F10" s="15" t="s">
        <v>76</v>
      </c>
      <c r="G10" s="15" t="s">
        <v>43</v>
      </c>
      <c r="H10" s="15" t="s">
        <v>43</v>
      </c>
      <c r="I10" s="15" t="s">
        <v>77</v>
      </c>
      <c r="J10" s="14" t="s">
        <v>44</v>
      </c>
      <c r="K10" s="14" t="s">
        <v>45</v>
      </c>
      <c r="L10" s="14" t="s">
        <v>46</v>
      </c>
      <c r="M10" s="14" t="s">
        <v>47</v>
      </c>
      <c r="N10" s="14" t="s">
        <v>47</v>
      </c>
      <c r="O10" s="14" t="s">
        <v>53</v>
      </c>
      <c r="P10" s="14" t="s">
        <v>46</v>
      </c>
      <c r="Q10" s="16" t="s">
        <v>46</v>
      </c>
      <c r="R10" s="16" t="s">
        <v>46</v>
      </c>
      <c r="S10" s="14" t="s">
        <v>46</v>
      </c>
      <c r="T10" s="14" t="s">
        <v>46</v>
      </c>
      <c r="U10" s="14" t="s">
        <v>46</v>
      </c>
      <c r="V10" s="14" t="s">
        <v>46</v>
      </c>
      <c r="W10" s="14" t="s">
        <v>46</v>
      </c>
      <c r="X10" s="14" t="s">
        <v>46</v>
      </c>
      <c r="Y10" s="16" t="s">
        <v>46</v>
      </c>
      <c r="Z10" s="16" t="s">
        <v>46</v>
      </c>
      <c r="AA10" s="16" t="s">
        <v>46</v>
      </c>
      <c r="AB10" s="16" t="s">
        <v>46</v>
      </c>
      <c r="AC10" s="16" t="s">
        <v>46</v>
      </c>
      <c r="AD10" s="16" t="s">
        <v>46</v>
      </c>
      <c r="AE10" s="16" t="s">
        <v>46</v>
      </c>
      <c r="AF10" s="14"/>
      <c r="AG10" s="14"/>
      <c r="AH10" s="14"/>
      <c r="AI10" s="14"/>
      <c r="AJ10" s="14"/>
      <c r="AK10" s="8" t="s">
        <v>46</v>
      </c>
      <c r="AL10" s="9"/>
      <c r="AM10" s="9"/>
      <c r="AN10" s="9"/>
      <c r="AO10" s="9" t="s">
        <v>78</v>
      </c>
      <c r="AP10" s="11"/>
      <c r="AQ10" s="11"/>
      <c r="AR10" s="11"/>
      <c r="AS10" s="11"/>
      <c r="AT10" s="11"/>
      <c r="AU10" s="11"/>
      <c r="AV10" s="11"/>
      <c r="AW10" s="11"/>
      <c r="AX10" s="11"/>
      <c r="AY10" s="11"/>
      <c r="AZ10" s="11"/>
    </row>
    <row r="11" ht="15.75" customHeight="1">
      <c r="A11" s="12">
        <v>44384.0</v>
      </c>
      <c r="B11" s="13">
        <v>0.4166666666666667</v>
      </c>
      <c r="C11" s="14">
        <v>3.2</v>
      </c>
      <c r="D11" s="15" t="s">
        <v>41</v>
      </c>
      <c r="E11" s="15" t="s">
        <v>79</v>
      </c>
      <c r="F11" s="15" t="s">
        <v>76</v>
      </c>
      <c r="G11" s="15" t="s">
        <v>43</v>
      </c>
      <c r="H11" s="15" t="s">
        <v>43</v>
      </c>
      <c r="I11" s="15" t="s">
        <v>80</v>
      </c>
      <c r="J11" s="14" t="s">
        <v>52</v>
      </c>
      <c r="K11" s="14" t="s">
        <v>68</v>
      </c>
      <c r="L11" s="14" t="s">
        <v>81</v>
      </c>
      <c r="M11" s="14" t="s">
        <v>47</v>
      </c>
      <c r="N11" s="14" t="s">
        <v>47</v>
      </c>
      <c r="O11" s="14" t="s">
        <v>48</v>
      </c>
      <c r="P11" s="14">
        <v>1.0</v>
      </c>
      <c r="Q11" s="16">
        <v>11600.0</v>
      </c>
      <c r="R11" s="16">
        <v>11600.0</v>
      </c>
      <c r="S11" s="14">
        <v>1000.0</v>
      </c>
      <c r="T11" s="14">
        <v>10.0</v>
      </c>
      <c r="U11" s="14" t="s">
        <v>46</v>
      </c>
      <c r="V11" s="14" t="s">
        <v>46</v>
      </c>
      <c r="W11" s="14" t="s">
        <v>46</v>
      </c>
      <c r="X11" s="14" t="s">
        <v>46</v>
      </c>
      <c r="Y11" s="16">
        <v>11252.0</v>
      </c>
      <c r="Z11" s="16">
        <v>232.0</v>
      </c>
      <c r="AA11" s="16">
        <v>116.0</v>
      </c>
      <c r="AB11" s="16">
        <v>0.0</v>
      </c>
      <c r="AC11" s="16">
        <v>0.0</v>
      </c>
      <c r="AD11" s="16">
        <v>0.0</v>
      </c>
      <c r="AE11" s="16">
        <v>0.0</v>
      </c>
      <c r="AF11" s="14"/>
      <c r="AG11" s="14"/>
      <c r="AH11" s="14"/>
      <c r="AI11" s="14"/>
      <c r="AJ11" s="14"/>
      <c r="AK11" s="8">
        <v>5.5</v>
      </c>
      <c r="AL11" s="9" t="s">
        <v>82</v>
      </c>
      <c r="AM11" s="9"/>
      <c r="AN11" s="9"/>
      <c r="AO11" s="9"/>
      <c r="AP11" s="11"/>
      <c r="AQ11" s="11"/>
      <c r="AR11" s="11"/>
      <c r="AS11" s="11"/>
      <c r="AT11" s="11"/>
      <c r="AU11" s="11"/>
      <c r="AV11" s="11"/>
      <c r="AW11" s="11"/>
      <c r="AX11" s="11"/>
      <c r="AY11" s="11"/>
      <c r="AZ11" s="11"/>
    </row>
    <row r="12" ht="15.75" customHeight="1">
      <c r="A12" s="12">
        <v>44391.0</v>
      </c>
      <c r="B12" s="13">
        <v>0.5902777777777778</v>
      </c>
      <c r="C12" s="14">
        <v>4.0</v>
      </c>
      <c r="D12" s="15" t="s">
        <v>41</v>
      </c>
      <c r="E12" s="15" t="s">
        <v>42</v>
      </c>
      <c r="F12" s="15" t="s">
        <v>79</v>
      </c>
      <c r="G12" s="15" t="s">
        <v>43</v>
      </c>
      <c r="H12" s="15" t="s">
        <v>43</v>
      </c>
      <c r="I12" s="15" t="s">
        <v>83</v>
      </c>
      <c r="J12" s="14" t="s">
        <v>52</v>
      </c>
      <c r="K12" s="14" t="s">
        <v>45</v>
      </c>
      <c r="L12" s="14" t="s">
        <v>46</v>
      </c>
      <c r="M12" s="14" t="s">
        <v>47</v>
      </c>
      <c r="N12" s="14" t="s">
        <v>47</v>
      </c>
      <c r="O12" s="14" t="s">
        <v>48</v>
      </c>
      <c r="P12" s="14">
        <v>1.0</v>
      </c>
      <c r="Q12" s="16">
        <v>375.0</v>
      </c>
      <c r="R12" s="16">
        <v>375.0</v>
      </c>
      <c r="S12" s="14">
        <v>1000.0</v>
      </c>
      <c r="T12" s="14">
        <v>10.0</v>
      </c>
      <c r="U12" s="14" t="s">
        <v>46</v>
      </c>
      <c r="V12" s="14" t="s">
        <v>46</v>
      </c>
      <c r="W12" s="14" t="s">
        <v>46</v>
      </c>
      <c r="X12" s="14" t="s">
        <v>46</v>
      </c>
      <c r="Y12" s="16">
        <v>75.0</v>
      </c>
      <c r="Z12" s="16">
        <v>300.0</v>
      </c>
      <c r="AA12" s="16">
        <v>0.0</v>
      </c>
      <c r="AB12" s="16">
        <v>0.0</v>
      </c>
      <c r="AC12" s="16">
        <v>0.0</v>
      </c>
      <c r="AD12" s="16">
        <v>0.0</v>
      </c>
      <c r="AE12" s="16">
        <v>0.0</v>
      </c>
      <c r="AF12" s="14"/>
      <c r="AG12" s="14"/>
      <c r="AH12" s="14"/>
      <c r="AI12" s="14"/>
      <c r="AJ12" s="14"/>
      <c r="AK12" s="8">
        <v>2.7</v>
      </c>
      <c r="AL12" s="9" t="s">
        <v>84</v>
      </c>
      <c r="AM12" s="9" t="s">
        <v>85</v>
      </c>
      <c r="AN12" s="9" t="s">
        <v>86</v>
      </c>
      <c r="AO12" s="11"/>
      <c r="AP12" s="11"/>
      <c r="AQ12" s="11"/>
      <c r="AR12" s="11"/>
      <c r="AS12" s="11"/>
      <c r="AT12" s="11"/>
      <c r="AU12" s="11"/>
      <c r="AV12" s="11"/>
      <c r="AW12" s="11"/>
      <c r="AX12" s="11"/>
      <c r="AY12" s="11"/>
      <c r="AZ12" s="11"/>
    </row>
    <row r="13" ht="15.75" customHeight="1">
      <c r="A13" s="12">
        <v>44398.0</v>
      </c>
      <c r="B13" s="13">
        <v>0.4895833333333333</v>
      </c>
      <c r="C13" s="14">
        <v>4.1</v>
      </c>
      <c r="D13" s="15" t="s">
        <v>41</v>
      </c>
      <c r="E13" s="15" t="s">
        <v>66</v>
      </c>
      <c r="F13" s="15" t="s">
        <v>79</v>
      </c>
      <c r="G13" s="15" t="s">
        <v>43</v>
      </c>
      <c r="H13" s="15" t="s">
        <v>43</v>
      </c>
      <c r="I13" s="15" t="s">
        <v>87</v>
      </c>
      <c r="J13" s="14" t="s">
        <v>52</v>
      </c>
      <c r="K13" s="14" t="s">
        <v>68</v>
      </c>
      <c r="L13" s="14" t="s">
        <v>88</v>
      </c>
      <c r="M13" s="14" t="s">
        <v>47</v>
      </c>
      <c r="N13" s="14" t="s">
        <v>47</v>
      </c>
      <c r="O13" s="14" t="s">
        <v>48</v>
      </c>
      <c r="P13" s="14">
        <v>1.5</v>
      </c>
      <c r="Q13" s="16">
        <v>2170.0</v>
      </c>
      <c r="R13" s="16">
        <v>2170.0</v>
      </c>
      <c r="S13" s="14">
        <v>1000.0</v>
      </c>
      <c r="T13" s="14">
        <v>10.0</v>
      </c>
      <c r="U13" s="14" t="s">
        <v>46</v>
      </c>
      <c r="V13" s="14" t="s">
        <v>46</v>
      </c>
      <c r="W13" s="14" t="s">
        <v>46</v>
      </c>
      <c r="X13" s="14" t="s">
        <v>46</v>
      </c>
      <c r="Y13" s="16">
        <v>412.3</v>
      </c>
      <c r="Z13" s="16">
        <v>1345.3999999999999</v>
      </c>
      <c r="AA13" s="16">
        <v>325.5</v>
      </c>
      <c r="AB13" s="16">
        <v>86.8</v>
      </c>
      <c r="AC13" s="16">
        <v>0.0</v>
      </c>
      <c r="AD13" s="16">
        <v>0.0</v>
      </c>
      <c r="AE13" s="16">
        <v>0.0</v>
      </c>
      <c r="AF13" s="14"/>
      <c r="AG13" s="14"/>
      <c r="AH13" s="14"/>
      <c r="AI13" s="14"/>
      <c r="AJ13" s="14"/>
      <c r="AK13" s="8">
        <v>1.0</v>
      </c>
      <c r="AL13" s="9" t="s">
        <v>89</v>
      </c>
      <c r="AM13" s="9" t="s">
        <v>90</v>
      </c>
      <c r="AN13" s="9" t="s">
        <v>91</v>
      </c>
      <c r="AO13" s="9" t="s">
        <v>92</v>
      </c>
      <c r="AP13" s="11"/>
      <c r="AQ13" s="11"/>
      <c r="AR13" s="11"/>
      <c r="AS13" s="11"/>
      <c r="AT13" s="11"/>
      <c r="AU13" s="11"/>
      <c r="AV13" s="11"/>
      <c r="AW13" s="11"/>
      <c r="AX13" s="11"/>
      <c r="AY13" s="11"/>
      <c r="AZ13" s="11"/>
    </row>
    <row r="14" ht="15.75" customHeight="1">
      <c r="A14" s="12">
        <v>44405.0</v>
      </c>
      <c r="B14" s="13">
        <v>0.46875</v>
      </c>
      <c r="C14" s="14">
        <v>6.6</v>
      </c>
      <c r="D14" s="15" t="s">
        <v>41</v>
      </c>
      <c r="E14" s="15" t="s">
        <v>66</v>
      </c>
      <c r="F14" s="15" t="s">
        <v>42</v>
      </c>
      <c r="G14" s="15" t="s">
        <v>43</v>
      </c>
      <c r="H14" s="15" t="s">
        <v>43</v>
      </c>
      <c r="I14" s="15" t="s">
        <v>93</v>
      </c>
      <c r="J14" s="14" t="s">
        <v>52</v>
      </c>
      <c r="K14" s="14" t="s">
        <v>68</v>
      </c>
      <c r="L14" s="14" t="s">
        <v>94</v>
      </c>
      <c r="M14" s="14" t="s">
        <v>47</v>
      </c>
      <c r="N14" s="14" t="s">
        <v>47</v>
      </c>
      <c r="O14" s="14" t="s">
        <v>48</v>
      </c>
      <c r="P14" s="14">
        <v>2.0</v>
      </c>
      <c r="Q14" s="16">
        <v>1375.0</v>
      </c>
      <c r="R14" s="16">
        <v>1375.0</v>
      </c>
      <c r="S14" s="14">
        <v>1000.0</v>
      </c>
      <c r="T14" s="14">
        <v>10.0</v>
      </c>
      <c r="U14" s="14" t="s">
        <v>46</v>
      </c>
      <c r="V14" s="14" t="s">
        <v>46</v>
      </c>
      <c r="W14" s="14" t="s">
        <v>46</v>
      </c>
      <c r="X14" s="14" t="s">
        <v>46</v>
      </c>
      <c r="Y14" s="16">
        <v>880.0</v>
      </c>
      <c r="Z14" s="16">
        <v>0.0</v>
      </c>
      <c r="AA14" s="16">
        <v>495.0</v>
      </c>
      <c r="AB14" s="16">
        <v>0.0</v>
      </c>
      <c r="AC14" s="16">
        <v>0.0</v>
      </c>
      <c r="AD14" s="16">
        <v>0.0</v>
      </c>
      <c r="AE14" s="16">
        <v>0.0</v>
      </c>
      <c r="AF14" s="14"/>
      <c r="AG14" s="14"/>
      <c r="AH14" s="14"/>
      <c r="AI14" s="14"/>
      <c r="AJ14" s="14"/>
      <c r="AK14" s="8">
        <v>0.8</v>
      </c>
      <c r="AL14" s="9" t="s">
        <v>89</v>
      </c>
      <c r="AM14" s="9" t="s">
        <v>47</v>
      </c>
      <c r="AN14" s="9" t="s">
        <v>95</v>
      </c>
      <c r="AO14" s="9" t="s">
        <v>96</v>
      </c>
      <c r="AP14" s="11"/>
      <c r="AQ14" s="11"/>
      <c r="AR14" s="11"/>
      <c r="AS14" s="11"/>
      <c r="AT14" s="11"/>
      <c r="AU14" s="11"/>
      <c r="AV14" s="11"/>
      <c r="AW14" s="11"/>
      <c r="AX14" s="11"/>
      <c r="AY14" s="11"/>
      <c r="AZ14" s="11"/>
    </row>
    <row r="15" ht="15.75" customHeight="1">
      <c r="A15" s="12">
        <v>44412.0</v>
      </c>
      <c r="B15" s="13">
        <v>0.4756944444444444</v>
      </c>
      <c r="C15" s="14">
        <v>5.5</v>
      </c>
      <c r="D15" s="15" t="s">
        <v>41</v>
      </c>
      <c r="E15" s="15" t="s">
        <v>66</v>
      </c>
      <c r="F15" s="15" t="s">
        <v>79</v>
      </c>
      <c r="G15" s="15" t="s">
        <v>43</v>
      </c>
      <c r="H15" s="15" t="s">
        <v>43</v>
      </c>
      <c r="I15" s="15" t="s">
        <v>87</v>
      </c>
      <c r="J15" s="14" t="s">
        <v>52</v>
      </c>
      <c r="K15" s="14" t="s">
        <v>68</v>
      </c>
      <c r="L15" s="14" t="s">
        <v>97</v>
      </c>
      <c r="M15" s="14" t="s">
        <v>47</v>
      </c>
      <c r="N15" s="14" t="s">
        <v>47</v>
      </c>
      <c r="O15" s="14" t="s">
        <v>48</v>
      </c>
      <c r="P15" s="14">
        <v>1.0</v>
      </c>
      <c r="Q15" s="16">
        <v>667.0</v>
      </c>
      <c r="R15" s="16">
        <v>500.25</v>
      </c>
      <c r="S15" s="14">
        <v>1000.0</v>
      </c>
      <c r="T15" s="14">
        <v>10.0</v>
      </c>
      <c r="U15" s="14" t="s">
        <v>46</v>
      </c>
      <c r="V15" s="14" t="s">
        <v>46</v>
      </c>
      <c r="W15" s="14" t="s">
        <v>46</v>
      </c>
      <c r="X15" s="14" t="s">
        <v>46</v>
      </c>
      <c r="Y15" s="16">
        <v>166.75</v>
      </c>
      <c r="Z15" s="16">
        <v>333.5</v>
      </c>
      <c r="AA15" s="16">
        <v>0.0</v>
      </c>
      <c r="AB15" s="16">
        <v>0.0</v>
      </c>
      <c r="AC15" s="16">
        <v>166.75</v>
      </c>
      <c r="AD15" s="16">
        <v>0.0</v>
      </c>
      <c r="AE15" s="16">
        <v>0.0</v>
      </c>
      <c r="AF15" s="14"/>
      <c r="AG15" s="14"/>
      <c r="AH15" s="14"/>
      <c r="AI15" s="14"/>
      <c r="AJ15" s="14"/>
      <c r="AK15" s="8">
        <v>2.3</v>
      </c>
      <c r="AL15" s="9" t="s">
        <v>98</v>
      </c>
      <c r="AM15" s="9" t="s">
        <v>99</v>
      </c>
      <c r="AN15" s="9" t="s">
        <v>100</v>
      </c>
      <c r="AO15" s="9" t="s">
        <v>101</v>
      </c>
      <c r="AP15" s="11"/>
      <c r="AQ15" s="11"/>
      <c r="AR15" s="11"/>
      <c r="AS15" s="11"/>
      <c r="AT15" s="11"/>
      <c r="AU15" s="11"/>
      <c r="AV15" s="11"/>
      <c r="AW15" s="11"/>
      <c r="AX15" s="11"/>
      <c r="AY15" s="11"/>
      <c r="AZ15" s="11"/>
    </row>
    <row r="16" ht="15.75" customHeight="1">
      <c r="A16" s="12">
        <v>44420.0</v>
      </c>
      <c r="B16" s="13">
        <v>0.4513888888888889</v>
      </c>
      <c r="C16" s="14">
        <v>6.7</v>
      </c>
      <c r="D16" s="15" t="s">
        <v>102</v>
      </c>
      <c r="E16" s="15" t="s">
        <v>43</v>
      </c>
      <c r="F16" s="15" t="s">
        <v>43</v>
      </c>
      <c r="G16" s="15" t="s">
        <v>43</v>
      </c>
      <c r="H16" s="15" t="s">
        <v>43</v>
      </c>
      <c r="I16" s="15" t="s">
        <v>47</v>
      </c>
      <c r="J16" s="14" t="s">
        <v>46</v>
      </c>
      <c r="K16" s="14" t="s">
        <v>45</v>
      </c>
      <c r="L16" s="14" t="s">
        <v>46</v>
      </c>
      <c r="M16" s="14" t="s">
        <v>47</v>
      </c>
      <c r="N16" s="14" t="s">
        <v>47</v>
      </c>
      <c r="O16" s="14" t="s">
        <v>48</v>
      </c>
      <c r="P16" s="14">
        <v>1.5</v>
      </c>
      <c r="Q16" s="16">
        <v>2250.0</v>
      </c>
      <c r="R16" s="16">
        <v>2182.5</v>
      </c>
      <c r="S16" s="14">
        <v>1000.0</v>
      </c>
      <c r="T16" s="14">
        <v>10.0</v>
      </c>
      <c r="U16" s="14" t="s">
        <v>46</v>
      </c>
      <c r="V16" s="14" t="s">
        <v>46</v>
      </c>
      <c r="W16" s="14" t="s">
        <v>46</v>
      </c>
      <c r="X16" s="14" t="s">
        <v>46</v>
      </c>
      <c r="Y16" s="16">
        <v>922.5</v>
      </c>
      <c r="Z16" s="16">
        <v>922.5</v>
      </c>
      <c r="AA16" s="16">
        <v>0.0</v>
      </c>
      <c r="AB16" s="16">
        <v>337.5</v>
      </c>
      <c r="AC16" s="16">
        <v>67.5</v>
      </c>
      <c r="AD16" s="16">
        <v>0.0</v>
      </c>
      <c r="AE16" s="16">
        <v>0.0</v>
      </c>
      <c r="AF16" s="17"/>
      <c r="AG16" s="17"/>
      <c r="AH16" s="17"/>
      <c r="AI16" s="17"/>
      <c r="AJ16" s="17"/>
      <c r="AK16" s="18">
        <v>7.5</v>
      </c>
      <c r="AL16" s="19" t="s">
        <v>103</v>
      </c>
      <c r="AM16" s="19" t="s">
        <v>104</v>
      </c>
      <c r="AN16" s="9" t="s">
        <v>105</v>
      </c>
      <c r="AO16" s="9" t="s">
        <v>106</v>
      </c>
      <c r="AP16" s="11"/>
      <c r="AQ16" s="11"/>
      <c r="AR16" s="11"/>
      <c r="AS16" s="11"/>
      <c r="AT16" s="11"/>
      <c r="AU16" s="11"/>
      <c r="AV16" s="11"/>
      <c r="AW16" s="11"/>
      <c r="AX16" s="11"/>
      <c r="AY16" s="11"/>
      <c r="AZ16" s="11"/>
    </row>
    <row r="17" ht="15.75" customHeight="1">
      <c r="A17" s="12">
        <v>44426.0</v>
      </c>
      <c r="B17" s="13">
        <v>0.4583333333333333</v>
      </c>
      <c r="C17" s="14">
        <v>5.3</v>
      </c>
      <c r="D17" s="15" t="s">
        <v>102</v>
      </c>
      <c r="E17" s="15" t="s">
        <v>66</v>
      </c>
      <c r="F17" s="15" t="s">
        <v>79</v>
      </c>
      <c r="G17" s="15" t="s">
        <v>43</v>
      </c>
      <c r="H17" s="15" t="s">
        <v>43</v>
      </c>
      <c r="I17" s="15" t="s">
        <v>87</v>
      </c>
      <c r="J17" s="14" t="s">
        <v>52</v>
      </c>
      <c r="K17" s="14" t="s">
        <v>68</v>
      </c>
      <c r="L17" s="14" t="s">
        <v>107</v>
      </c>
      <c r="M17" s="14" t="s">
        <v>47</v>
      </c>
      <c r="N17" s="14" t="s">
        <v>47</v>
      </c>
      <c r="O17" s="14" t="s">
        <v>53</v>
      </c>
      <c r="P17" s="14">
        <v>1.5</v>
      </c>
      <c r="Q17" s="16">
        <v>250.0</v>
      </c>
      <c r="R17" s="16">
        <v>250.0</v>
      </c>
      <c r="S17" s="14">
        <v>1000.0</v>
      </c>
      <c r="T17" s="14">
        <v>10.0</v>
      </c>
      <c r="U17" s="14">
        <v>8.0</v>
      </c>
      <c r="V17" s="14">
        <v>0.16</v>
      </c>
      <c r="W17" s="14" t="s">
        <v>46</v>
      </c>
      <c r="X17" s="14" t="s">
        <v>46</v>
      </c>
      <c r="Y17" s="16">
        <v>250.0</v>
      </c>
      <c r="Z17" s="16">
        <v>0.0</v>
      </c>
      <c r="AA17" s="16">
        <v>0.0</v>
      </c>
      <c r="AB17" s="16">
        <v>0.0</v>
      </c>
      <c r="AC17" s="16">
        <v>0.0</v>
      </c>
      <c r="AD17" s="16">
        <v>0.0</v>
      </c>
      <c r="AE17" s="16">
        <v>0.0</v>
      </c>
      <c r="AF17" s="17"/>
      <c r="AG17" s="17"/>
      <c r="AH17" s="17"/>
      <c r="AI17" s="17"/>
      <c r="AJ17" s="17"/>
      <c r="AK17" s="18">
        <v>2.3</v>
      </c>
      <c r="AL17" s="19" t="s">
        <v>103</v>
      </c>
      <c r="AM17" s="19" t="s">
        <v>108</v>
      </c>
      <c r="AN17" s="9" t="s">
        <v>109</v>
      </c>
      <c r="AO17" s="9" t="s">
        <v>110</v>
      </c>
      <c r="AP17" s="11"/>
      <c r="AQ17" s="11"/>
      <c r="AR17" s="11"/>
      <c r="AS17" s="11"/>
      <c r="AT17" s="11"/>
      <c r="AU17" s="11"/>
      <c r="AV17" s="11"/>
      <c r="AW17" s="11"/>
      <c r="AX17" s="11"/>
      <c r="AY17" s="11"/>
      <c r="AZ17" s="11"/>
    </row>
    <row r="18" ht="15.75" customHeight="1">
      <c r="A18" s="12">
        <v>44432.0</v>
      </c>
      <c r="B18" s="13">
        <v>0.4326388888888889</v>
      </c>
      <c r="C18" s="14">
        <v>5.9</v>
      </c>
      <c r="D18" s="15" t="s">
        <v>102</v>
      </c>
      <c r="E18" s="15" t="s">
        <v>76</v>
      </c>
      <c r="F18" s="15" t="s">
        <v>76</v>
      </c>
      <c r="G18" s="15" t="s">
        <v>43</v>
      </c>
      <c r="H18" s="15" t="s">
        <v>43</v>
      </c>
      <c r="I18" s="15" t="s">
        <v>77</v>
      </c>
      <c r="J18" s="14" t="s">
        <v>52</v>
      </c>
      <c r="K18" s="14" t="s">
        <v>45</v>
      </c>
      <c r="L18" s="14" t="s">
        <v>46</v>
      </c>
      <c r="M18" s="14" t="s">
        <v>47</v>
      </c>
      <c r="N18" s="14" t="s">
        <v>47</v>
      </c>
      <c r="O18" s="14" t="s">
        <v>48</v>
      </c>
      <c r="P18" s="14">
        <v>1.5</v>
      </c>
      <c r="Q18" s="16">
        <v>150.0</v>
      </c>
      <c r="R18" s="16">
        <v>150.0</v>
      </c>
      <c r="S18" s="14">
        <v>1000.0</v>
      </c>
      <c r="T18" s="14">
        <v>10.0</v>
      </c>
      <c r="U18" s="14">
        <v>3.0</v>
      </c>
      <c r="V18" s="14">
        <v>0.2</v>
      </c>
      <c r="W18" s="14" t="s">
        <v>46</v>
      </c>
      <c r="X18" s="14" t="s">
        <v>46</v>
      </c>
      <c r="Y18" s="16">
        <v>49.5</v>
      </c>
      <c r="Z18" s="16">
        <v>100.5</v>
      </c>
      <c r="AA18" s="16">
        <v>0.0</v>
      </c>
      <c r="AB18" s="16">
        <v>0.0</v>
      </c>
      <c r="AC18" s="16">
        <v>0.0</v>
      </c>
      <c r="AD18" s="16">
        <v>0.0</v>
      </c>
      <c r="AE18" s="16">
        <v>0.0</v>
      </c>
      <c r="AF18" s="14"/>
      <c r="AG18" s="14"/>
      <c r="AH18" s="14"/>
      <c r="AI18" s="14"/>
      <c r="AJ18" s="14"/>
      <c r="AK18" s="8">
        <v>5.3</v>
      </c>
      <c r="AL18" s="9" t="s">
        <v>111</v>
      </c>
      <c r="AM18" s="9" t="s">
        <v>47</v>
      </c>
      <c r="AN18" s="9" t="s">
        <v>112</v>
      </c>
      <c r="AO18" s="9" t="s">
        <v>113</v>
      </c>
      <c r="AP18" s="11"/>
      <c r="AQ18" s="11"/>
      <c r="AR18" s="11"/>
      <c r="AS18" s="11"/>
      <c r="AT18" s="11"/>
      <c r="AU18" s="11"/>
      <c r="AV18" s="11"/>
      <c r="AW18" s="11"/>
      <c r="AX18" s="11"/>
      <c r="AY18" s="11"/>
      <c r="AZ18" s="11"/>
    </row>
    <row r="19" ht="15.75" customHeight="1">
      <c r="A19" s="12">
        <v>44439.0</v>
      </c>
      <c r="B19" s="13">
        <v>0.4583333333333333</v>
      </c>
      <c r="C19" s="14">
        <v>6.4</v>
      </c>
      <c r="D19" s="15" t="s">
        <v>102</v>
      </c>
      <c r="E19" s="15" t="s">
        <v>79</v>
      </c>
      <c r="F19" s="15" t="s">
        <v>79</v>
      </c>
      <c r="G19" s="15" t="s">
        <v>114</v>
      </c>
      <c r="H19" s="15" t="s">
        <v>49</v>
      </c>
      <c r="I19" s="15" t="s">
        <v>115</v>
      </c>
      <c r="J19" s="14" t="s">
        <v>52</v>
      </c>
      <c r="K19" s="14" t="s">
        <v>68</v>
      </c>
      <c r="L19" s="14" t="s">
        <v>116</v>
      </c>
      <c r="M19" s="14" t="s">
        <v>47</v>
      </c>
      <c r="N19" s="14" t="s">
        <v>47</v>
      </c>
      <c r="O19" s="14" t="s">
        <v>117</v>
      </c>
      <c r="P19" s="14">
        <v>1.5</v>
      </c>
      <c r="Q19" s="16">
        <v>313.0</v>
      </c>
      <c r="R19" s="16">
        <v>313.0</v>
      </c>
      <c r="S19" s="14">
        <v>1000.0</v>
      </c>
      <c r="T19" s="14">
        <v>10.0</v>
      </c>
      <c r="U19" s="14">
        <v>5.0</v>
      </c>
      <c r="V19" s="14">
        <v>0.16</v>
      </c>
      <c r="W19" s="14" t="s">
        <v>46</v>
      </c>
      <c r="X19" s="14" t="s">
        <v>46</v>
      </c>
      <c r="Y19" s="16">
        <v>187.79999999999998</v>
      </c>
      <c r="Z19" s="16">
        <v>125.19999999999999</v>
      </c>
      <c r="AA19" s="16">
        <v>0.0</v>
      </c>
      <c r="AB19" s="16">
        <v>0.0</v>
      </c>
      <c r="AC19" s="16">
        <v>0.0</v>
      </c>
      <c r="AD19" s="16">
        <v>0.0</v>
      </c>
      <c r="AE19" s="16">
        <v>0.0</v>
      </c>
      <c r="AF19" s="14"/>
      <c r="AG19" s="14"/>
      <c r="AH19" s="14"/>
      <c r="AI19" s="14"/>
      <c r="AJ19" s="14"/>
      <c r="AK19" s="8">
        <v>3.4</v>
      </c>
      <c r="AL19" s="9" t="s">
        <v>111</v>
      </c>
      <c r="AM19" s="9" t="s">
        <v>47</v>
      </c>
      <c r="AN19" s="9" t="s">
        <v>118</v>
      </c>
      <c r="AO19" s="9" t="s">
        <v>119</v>
      </c>
      <c r="AP19" s="11"/>
      <c r="AQ19" s="11"/>
      <c r="AR19" s="11"/>
      <c r="AS19" s="11"/>
      <c r="AT19" s="11"/>
      <c r="AU19" s="11"/>
      <c r="AV19" s="11"/>
      <c r="AW19" s="11"/>
      <c r="AX19" s="11"/>
      <c r="AY19" s="11"/>
      <c r="AZ19" s="11"/>
    </row>
    <row r="20" ht="15.75" customHeight="1">
      <c r="A20" s="12">
        <v>44447.0</v>
      </c>
      <c r="B20" s="13">
        <v>0.4270833333333333</v>
      </c>
      <c r="C20" s="14">
        <v>6.0</v>
      </c>
      <c r="D20" s="15" t="s">
        <v>102</v>
      </c>
      <c r="E20" s="15" t="s">
        <v>76</v>
      </c>
      <c r="F20" s="15" t="s">
        <v>76</v>
      </c>
      <c r="G20" s="15" t="s">
        <v>58</v>
      </c>
      <c r="H20" s="15" t="s">
        <v>58</v>
      </c>
      <c r="I20" s="15" t="s">
        <v>120</v>
      </c>
      <c r="J20" s="14" t="s">
        <v>44</v>
      </c>
      <c r="K20" s="14" t="s">
        <v>45</v>
      </c>
      <c r="L20" s="14" t="s">
        <v>46</v>
      </c>
      <c r="M20" s="14" t="s">
        <v>47</v>
      </c>
      <c r="N20" s="14" t="s">
        <v>47</v>
      </c>
      <c r="O20" s="14" t="s">
        <v>48</v>
      </c>
      <c r="P20" s="14">
        <v>1.5</v>
      </c>
      <c r="Q20" s="16">
        <v>313.0</v>
      </c>
      <c r="R20" s="16">
        <v>250.39999999999998</v>
      </c>
      <c r="S20" s="14">
        <v>1000.0</v>
      </c>
      <c r="T20" s="14">
        <v>10.0</v>
      </c>
      <c r="U20" s="14">
        <v>5.0</v>
      </c>
      <c r="V20" s="14">
        <v>0.16</v>
      </c>
      <c r="W20" s="14" t="s">
        <v>46</v>
      </c>
      <c r="X20" s="14" t="s">
        <v>46</v>
      </c>
      <c r="Y20" s="16">
        <v>250.39999999999998</v>
      </c>
      <c r="Z20" s="16">
        <v>0.0</v>
      </c>
      <c r="AA20" s="16">
        <v>0.0</v>
      </c>
      <c r="AB20" s="16">
        <v>0.0</v>
      </c>
      <c r="AC20" s="16">
        <v>62.599999999999994</v>
      </c>
      <c r="AD20" s="16">
        <v>0.0</v>
      </c>
      <c r="AE20" s="16">
        <v>0.0</v>
      </c>
      <c r="AF20" s="14"/>
      <c r="AG20" s="14"/>
      <c r="AH20" s="14"/>
      <c r="AI20" s="14"/>
      <c r="AJ20" s="14"/>
      <c r="AK20" s="8">
        <v>4.7</v>
      </c>
      <c r="AL20" s="9" t="s">
        <v>111</v>
      </c>
      <c r="AM20" s="9" t="s">
        <v>90</v>
      </c>
      <c r="AN20" s="9" t="s">
        <v>121</v>
      </c>
      <c r="AO20" s="9" t="s">
        <v>122</v>
      </c>
      <c r="AP20" s="11"/>
      <c r="AQ20" s="11"/>
      <c r="AR20" s="11"/>
      <c r="AS20" s="11"/>
      <c r="AT20" s="11"/>
      <c r="AU20" s="11"/>
      <c r="AV20" s="11"/>
      <c r="AW20" s="11"/>
      <c r="AX20" s="11"/>
      <c r="AY20" s="11"/>
      <c r="AZ20" s="11"/>
    </row>
    <row r="21" ht="15.75" customHeight="1">
      <c r="A21" s="12">
        <v>44455.0</v>
      </c>
      <c r="B21" s="13">
        <v>0.46875</v>
      </c>
      <c r="C21" s="14">
        <v>5.2</v>
      </c>
      <c r="D21" s="15" t="s">
        <v>102</v>
      </c>
      <c r="E21" s="15" t="s">
        <v>76</v>
      </c>
      <c r="F21" s="15" t="s">
        <v>76</v>
      </c>
      <c r="G21" s="15" t="s">
        <v>42</v>
      </c>
      <c r="H21" s="15" t="s">
        <v>42</v>
      </c>
      <c r="I21" s="15" t="s">
        <v>123</v>
      </c>
      <c r="J21" s="14" t="s">
        <v>52</v>
      </c>
      <c r="K21" s="14" t="s">
        <v>45</v>
      </c>
      <c r="L21" s="14" t="s">
        <v>46</v>
      </c>
      <c r="M21" s="14" t="s">
        <v>47</v>
      </c>
      <c r="N21" s="14" t="s">
        <v>47</v>
      </c>
      <c r="O21" s="14" t="s">
        <v>48</v>
      </c>
      <c r="P21" s="14">
        <v>1.5</v>
      </c>
      <c r="Q21" s="16">
        <v>1125.0</v>
      </c>
      <c r="R21" s="16">
        <v>1125.0</v>
      </c>
      <c r="S21" s="14">
        <v>1000.0</v>
      </c>
      <c r="T21" s="14">
        <v>10.0</v>
      </c>
      <c r="U21" s="14">
        <v>18.0</v>
      </c>
      <c r="V21" s="14">
        <v>0.16</v>
      </c>
      <c r="W21" s="14" t="s">
        <v>46</v>
      </c>
      <c r="X21" s="14" t="s">
        <v>46</v>
      </c>
      <c r="Y21" s="16">
        <v>281.25</v>
      </c>
      <c r="Z21" s="16">
        <v>843.75</v>
      </c>
      <c r="AA21" s="16">
        <v>0.0</v>
      </c>
      <c r="AB21" s="16">
        <v>0.0</v>
      </c>
      <c r="AC21" s="16">
        <v>0.0</v>
      </c>
      <c r="AD21" s="16">
        <v>0.0</v>
      </c>
      <c r="AE21" s="16">
        <v>0.0</v>
      </c>
      <c r="AF21" s="14"/>
      <c r="AG21" s="14"/>
      <c r="AH21" s="14"/>
      <c r="AI21" s="14"/>
      <c r="AJ21" s="14"/>
      <c r="AK21" s="8">
        <v>3.2</v>
      </c>
      <c r="AL21" s="9" t="s">
        <v>111</v>
      </c>
      <c r="AM21" s="9" t="s">
        <v>124</v>
      </c>
      <c r="AN21" s="9" t="s">
        <v>125</v>
      </c>
      <c r="AO21" s="9" t="s">
        <v>126</v>
      </c>
      <c r="AP21" s="11"/>
      <c r="AQ21" s="11"/>
      <c r="AR21" s="11"/>
      <c r="AS21" s="11"/>
      <c r="AT21" s="11"/>
      <c r="AU21" s="11"/>
      <c r="AV21" s="11"/>
      <c r="AW21" s="11"/>
      <c r="AX21" s="11"/>
      <c r="AY21" s="11"/>
      <c r="AZ21" s="11"/>
    </row>
    <row r="22" ht="15.75" customHeight="1">
      <c r="A22" s="12">
        <v>44456.0</v>
      </c>
      <c r="B22" s="13">
        <v>0.4583333333333333</v>
      </c>
      <c r="C22" s="14">
        <v>4.3</v>
      </c>
      <c r="D22" s="15" t="s">
        <v>102</v>
      </c>
      <c r="E22" s="15" t="s">
        <v>76</v>
      </c>
      <c r="F22" s="15" t="s">
        <v>76</v>
      </c>
      <c r="G22" s="15" t="s">
        <v>43</v>
      </c>
      <c r="H22" s="15" t="s">
        <v>43</v>
      </c>
      <c r="I22" s="15" t="s">
        <v>77</v>
      </c>
      <c r="J22" s="14" t="s">
        <v>46</v>
      </c>
      <c r="K22" s="14" t="s">
        <v>46</v>
      </c>
      <c r="L22" s="14" t="s">
        <v>46</v>
      </c>
      <c r="M22" s="14" t="s">
        <v>47</v>
      </c>
      <c r="N22" s="14" t="s">
        <v>47</v>
      </c>
      <c r="O22" s="14" t="s">
        <v>127</v>
      </c>
      <c r="P22" s="14" t="s">
        <v>46</v>
      </c>
      <c r="Q22" s="16" t="s">
        <v>46</v>
      </c>
      <c r="R22" s="16" t="s">
        <v>46</v>
      </c>
      <c r="S22" s="14" t="s">
        <v>46</v>
      </c>
      <c r="T22" s="14" t="s">
        <v>46</v>
      </c>
      <c r="U22" s="14" t="s">
        <v>46</v>
      </c>
      <c r="V22" s="14" t="s">
        <v>46</v>
      </c>
      <c r="W22" s="14" t="s">
        <v>46</v>
      </c>
      <c r="X22" s="14" t="s">
        <v>46</v>
      </c>
      <c r="Y22" s="16" t="s">
        <v>46</v>
      </c>
      <c r="Z22" s="16" t="s">
        <v>46</v>
      </c>
      <c r="AA22" s="16" t="s">
        <v>46</v>
      </c>
      <c r="AB22" s="16" t="s">
        <v>46</v>
      </c>
      <c r="AC22" s="16" t="s">
        <v>46</v>
      </c>
      <c r="AD22" s="16" t="s">
        <v>46</v>
      </c>
      <c r="AE22" s="16" t="s">
        <v>46</v>
      </c>
      <c r="AF22" s="14"/>
      <c r="AG22" s="14"/>
      <c r="AH22" s="14"/>
      <c r="AI22" s="14"/>
      <c r="AJ22" s="14"/>
      <c r="AK22" s="8" t="s">
        <v>46</v>
      </c>
      <c r="AL22" s="9" t="s">
        <v>128</v>
      </c>
      <c r="AM22" s="9" t="s">
        <v>128</v>
      </c>
      <c r="AN22" s="9" t="s">
        <v>128</v>
      </c>
      <c r="AO22" s="9" t="s">
        <v>129</v>
      </c>
      <c r="AP22" s="11"/>
      <c r="AQ22" s="11"/>
      <c r="AR22" s="11"/>
      <c r="AS22" s="11"/>
      <c r="AT22" s="11"/>
      <c r="AU22" s="11"/>
      <c r="AV22" s="11"/>
      <c r="AW22" s="11"/>
      <c r="AX22" s="11"/>
      <c r="AY22" s="11"/>
      <c r="AZ22" s="11"/>
    </row>
    <row r="23" ht="15.75" customHeight="1">
      <c r="A23" s="12">
        <v>44461.0</v>
      </c>
      <c r="B23" s="13">
        <v>0.4895833333333333</v>
      </c>
      <c r="C23" s="14">
        <v>5.2</v>
      </c>
      <c r="D23" s="15" t="s">
        <v>102</v>
      </c>
      <c r="E23" s="15" t="s">
        <v>76</v>
      </c>
      <c r="F23" s="15" t="s">
        <v>76</v>
      </c>
      <c r="G23" s="15" t="s">
        <v>43</v>
      </c>
      <c r="H23" s="15" t="s">
        <v>43</v>
      </c>
      <c r="I23" s="15" t="s">
        <v>77</v>
      </c>
      <c r="J23" s="14" t="s">
        <v>44</v>
      </c>
      <c r="K23" s="14" t="s">
        <v>45</v>
      </c>
      <c r="L23" s="14" t="s">
        <v>46</v>
      </c>
      <c r="M23" s="14" t="s">
        <v>47</v>
      </c>
      <c r="N23" s="14" t="s">
        <v>47</v>
      </c>
      <c r="O23" s="14" t="s">
        <v>130</v>
      </c>
      <c r="P23" s="14">
        <v>1.5</v>
      </c>
      <c r="Q23" s="16">
        <v>1500.0</v>
      </c>
      <c r="R23" s="16">
        <v>1500.0</v>
      </c>
      <c r="S23" s="14">
        <v>1000.0</v>
      </c>
      <c r="T23" s="14">
        <v>10.0</v>
      </c>
      <c r="U23" s="14">
        <v>30.0</v>
      </c>
      <c r="V23" s="14">
        <v>0.2</v>
      </c>
      <c r="W23" s="14" t="s">
        <v>46</v>
      </c>
      <c r="X23" s="14" t="s">
        <v>46</v>
      </c>
      <c r="Y23" s="16">
        <v>705.0</v>
      </c>
      <c r="Z23" s="16">
        <v>600.0</v>
      </c>
      <c r="AA23" s="16">
        <v>45.0</v>
      </c>
      <c r="AB23" s="16">
        <v>105.0</v>
      </c>
      <c r="AC23" s="16">
        <v>0.0</v>
      </c>
      <c r="AD23" s="16">
        <v>45.0</v>
      </c>
      <c r="AE23" s="16">
        <v>0.0</v>
      </c>
      <c r="AF23" s="14"/>
      <c r="AG23" s="14"/>
      <c r="AH23" s="14"/>
      <c r="AI23" s="14"/>
      <c r="AJ23" s="14"/>
      <c r="AK23" s="8">
        <v>3.2</v>
      </c>
      <c r="AL23" s="9" t="s">
        <v>111</v>
      </c>
      <c r="AM23" s="9" t="s">
        <v>131</v>
      </c>
      <c r="AN23" s="9" t="s">
        <v>132</v>
      </c>
      <c r="AO23" s="9" t="s">
        <v>133</v>
      </c>
      <c r="AP23" s="11"/>
      <c r="AQ23" s="11"/>
      <c r="AR23" s="11"/>
      <c r="AS23" s="11"/>
      <c r="AT23" s="11"/>
      <c r="AU23" s="11"/>
      <c r="AV23" s="11"/>
      <c r="AW23" s="11"/>
      <c r="AX23" s="11"/>
      <c r="AY23" s="11"/>
      <c r="AZ23" s="11"/>
    </row>
    <row r="24" ht="15.75" customHeight="1">
      <c r="A24" s="12">
        <v>44469.0</v>
      </c>
      <c r="B24" s="13">
        <v>0.4375</v>
      </c>
      <c r="C24" s="14">
        <v>6.0</v>
      </c>
      <c r="D24" s="15" t="s">
        <v>102</v>
      </c>
      <c r="E24" s="15" t="s">
        <v>76</v>
      </c>
      <c r="F24" s="15" t="s">
        <v>76</v>
      </c>
      <c r="G24" s="15" t="s">
        <v>134</v>
      </c>
      <c r="H24" s="15" t="s">
        <v>134</v>
      </c>
      <c r="I24" s="15" t="s">
        <v>135</v>
      </c>
      <c r="J24" s="14" t="s">
        <v>52</v>
      </c>
      <c r="K24" s="14" t="s">
        <v>68</v>
      </c>
      <c r="L24" s="14" t="s">
        <v>136</v>
      </c>
      <c r="M24" s="14" t="s">
        <v>47</v>
      </c>
      <c r="N24" s="14" t="s">
        <v>47</v>
      </c>
      <c r="O24" s="14" t="s">
        <v>53</v>
      </c>
      <c r="P24" s="14">
        <v>1.5</v>
      </c>
      <c r="Q24" s="16">
        <v>150.0</v>
      </c>
      <c r="R24" s="16">
        <v>150.0</v>
      </c>
      <c r="S24" s="14">
        <v>1000.0</v>
      </c>
      <c r="T24" s="14">
        <v>10.0</v>
      </c>
      <c r="U24" s="14">
        <v>3.0</v>
      </c>
      <c r="V24" s="14">
        <v>0.2</v>
      </c>
      <c r="W24" s="14" t="s">
        <v>46</v>
      </c>
      <c r="X24" s="14" t="s">
        <v>46</v>
      </c>
      <c r="Y24" s="16">
        <v>100.5</v>
      </c>
      <c r="Z24" s="16">
        <v>49.5</v>
      </c>
      <c r="AA24" s="16">
        <v>0.0</v>
      </c>
      <c r="AB24" s="16">
        <v>0.0</v>
      </c>
      <c r="AC24" s="16">
        <v>0.0</v>
      </c>
      <c r="AD24" s="16">
        <v>0.0</v>
      </c>
      <c r="AE24" s="16">
        <v>0.0</v>
      </c>
      <c r="AF24" s="14"/>
      <c r="AG24" s="14"/>
      <c r="AH24" s="14"/>
      <c r="AI24" s="14"/>
      <c r="AJ24" s="14"/>
      <c r="AK24" s="8">
        <v>9.6</v>
      </c>
      <c r="AL24" s="9" t="s">
        <v>111</v>
      </c>
      <c r="AM24" s="9" t="s">
        <v>47</v>
      </c>
      <c r="AN24" s="9" t="s">
        <v>137</v>
      </c>
      <c r="AO24" s="9" t="s">
        <v>138</v>
      </c>
      <c r="AP24" s="11"/>
      <c r="AQ24" s="11"/>
      <c r="AR24" s="11"/>
      <c r="AS24" s="11"/>
      <c r="AT24" s="11"/>
      <c r="AU24" s="11"/>
      <c r="AV24" s="11"/>
      <c r="AW24" s="11"/>
      <c r="AX24" s="11"/>
      <c r="AY24" s="11"/>
      <c r="AZ24" s="11"/>
    </row>
    <row r="25" ht="15.75" customHeight="1">
      <c r="A25" s="12">
        <v>44477.0</v>
      </c>
      <c r="B25" s="13">
        <v>0.4479166666666667</v>
      </c>
      <c r="C25" s="14">
        <v>6.3</v>
      </c>
      <c r="D25" s="15" t="s">
        <v>102</v>
      </c>
      <c r="E25" s="15" t="s">
        <v>134</v>
      </c>
      <c r="F25" s="15" t="s">
        <v>134</v>
      </c>
      <c r="G25" s="15" t="s">
        <v>43</v>
      </c>
      <c r="H25" s="15" t="s">
        <v>43</v>
      </c>
      <c r="I25" s="15" t="s">
        <v>134</v>
      </c>
      <c r="J25" s="14" t="s">
        <v>60</v>
      </c>
      <c r="K25" s="14" t="s">
        <v>45</v>
      </c>
      <c r="L25" s="14" t="s">
        <v>46</v>
      </c>
      <c r="M25" s="14" t="s">
        <v>47</v>
      </c>
      <c r="N25" s="14" t="s">
        <v>47</v>
      </c>
      <c r="O25" s="14" t="s">
        <v>48</v>
      </c>
      <c r="P25" s="14">
        <v>1.5</v>
      </c>
      <c r="Q25" s="16">
        <v>83.0</v>
      </c>
      <c r="R25" s="16">
        <v>83.0</v>
      </c>
      <c r="S25" s="14">
        <v>1000.0</v>
      </c>
      <c r="T25" s="14">
        <v>10.0</v>
      </c>
      <c r="U25" s="14">
        <v>2.0</v>
      </c>
      <c r="V25" s="14">
        <v>0.24</v>
      </c>
      <c r="W25" s="14" t="s">
        <v>46</v>
      </c>
      <c r="X25" s="14" t="s">
        <v>46</v>
      </c>
      <c r="Y25" s="16">
        <v>83.0</v>
      </c>
      <c r="Z25" s="16">
        <v>0.0</v>
      </c>
      <c r="AA25" s="16">
        <v>0.0</v>
      </c>
      <c r="AB25" s="16">
        <v>0.0</v>
      </c>
      <c r="AC25" s="16">
        <v>0.0</v>
      </c>
      <c r="AD25" s="16">
        <v>0.0</v>
      </c>
      <c r="AE25" s="16">
        <v>0.0</v>
      </c>
      <c r="AF25" s="14"/>
      <c r="AG25" s="14"/>
      <c r="AH25" s="14"/>
      <c r="AI25" s="14"/>
      <c r="AJ25" s="14"/>
      <c r="AK25" s="8">
        <v>9.6</v>
      </c>
      <c r="AL25" s="9" t="s">
        <v>47</v>
      </c>
      <c r="AM25" s="9" t="s">
        <v>139</v>
      </c>
      <c r="AN25" s="9" t="s">
        <v>140</v>
      </c>
      <c r="AO25" s="9" t="s">
        <v>141</v>
      </c>
      <c r="AP25" s="11"/>
      <c r="AQ25" s="11"/>
      <c r="AR25" s="11"/>
      <c r="AS25" s="11"/>
      <c r="AT25" s="11"/>
      <c r="AU25" s="11"/>
      <c r="AV25" s="11"/>
      <c r="AW25" s="11"/>
      <c r="AX25" s="11"/>
      <c r="AY25" s="11"/>
      <c r="AZ25" s="11"/>
    </row>
    <row r="26" ht="15.75" customHeight="1">
      <c r="A26" s="12">
        <v>44488.0</v>
      </c>
      <c r="B26" s="13">
        <v>0.4791666666666667</v>
      </c>
      <c r="C26" s="14">
        <v>5.5</v>
      </c>
      <c r="D26" s="15" t="s">
        <v>102</v>
      </c>
      <c r="E26" s="15" t="s">
        <v>43</v>
      </c>
      <c r="F26" s="15" t="s">
        <v>43</v>
      </c>
      <c r="G26" s="15" t="s">
        <v>43</v>
      </c>
      <c r="H26" s="15" t="s">
        <v>43</v>
      </c>
      <c r="I26" s="15" t="s">
        <v>47</v>
      </c>
      <c r="J26" s="14" t="s">
        <v>46</v>
      </c>
      <c r="K26" s="14" t="s">
        <v>45</v>
      </c>
      <c r="L26" s="14" t="s">
        <v>46</v>
      </c>
      <c r="M26" s="14" t="s">
        <v>47</v>
      </c>
      <c r="N26" s="14" t="s">
        <v>47</v>
      </c>
      <c r="O26" s="14" t="s">
        <v>142</v>
      </c>
      <c r="P26" s="14">
        <v>1.5</v>
      </c>
      <c r="Q26" s="16">
        <v>292.0</v>
      </c>
      <c r="R26" s="16">
        <v>292.0</v>
      </c>
      <c r="S26" s="14">
        <v>1000.0</v>
      </c>
      <c r="T26" s="14">
        <v>10.0</v>
      </c>
      <c r="U26" s="14">
        <v>7.0</v>
      </c>
      <c r="V26" s="14">
        <v>0.24</v>
      </c>
      <c r="W26" s="14" t="s">
        <v>46</v>
      </c>
      <c r="X26" s="14" t="s">
        <v>46</v>
      </c>
      <c r="Y26" s="16">
        <v>210.24</v>
      </c>
      <c r="Z26" s="16">
        <v>40.879999999999995</v>
      </c>
      <c r="AA26" s="16">
        <v>0.0</v>
      </c>
      <c r="AB26" s="16">
        <v>0.0</v>
      </c>
      <c r="AC26" s="16">
        <v>0.0</v>
      </c>
      <c r="AD26" s="16">
        <v>40.879999999999995</v>
      </c>
      <c r="AE26" s="16">
        <v>0.0</v>
      </c>
      <c r="AF26" s="14"/>
      <c r="AG26" s="14"/>
      <c r="AH26" s="14"/>
      <c r="AI26" s="14"/>
      <c r="AJ26" s="14"/>
      <c r="AK26" s="8">
        <v>8.9</v>
      </c>
      <c r="AL26" s="9" t="s">
        <v>47</v>
      </c>
      <c r="AM26" s="9" t="s">
        <v>143</v>
      </c>
      <c r="AN26" s="9" t="s">
        <v>144</v>
      </c>
      <c r="AO26" s="9" t="s">
        <v>145</v>
      </c>
      <c r="AP26" s="11"/>
      <c r="AQ26" s="11"/>
      <c r="AR26" s="11"/>
      <c r="AS26" s="11"/>
      <c r="AT26" s="11"/>
      <c r="AU26" s="11"/>
      <c r="AV26" s="11"/>
      <c r="AW26" s="11"/>
      <c r="AX26" s="11"/>
      <c r="AY26" s="11"/>
      <c r="AZ26" s="11"/>
    </row>
    <row r="27" ht="15.75" customHeight="1">
      <c r="A27" s="12">
        <v>44504.0</v>
      </c>
      <c r="B27" s="13">
        <v>0.4791666666666667</v>
      </c>
      <c r="C27" s="14">
        <v>5.5</v>
      </c>
      <c r="D27" s="15" t="s">
        <v>102</v>
      </c>
      <c r="E27" s="15" t="s">
        <v>43</v>
      </c>
      <c r="F27" s="15" t="s">
        <v>43</v>
      </c>
      <c r="G27" s="15" t="s">
        <v>43</v>
      </c>
      <c r="H27" s="15" t="s">
        <v>43</v>
      </c>
      <c r="I27" s="15" t="s">
        <v>47</v>
      </c>
      <c r="J27" s="14" t="s">
        <v>46</v>
      </c>
      <c r="K27" s="14" t="s">
        <v>45</v>
      </c>
      <c r="L27" s="14" t="s">
        <v>46</v>
      </c>
      <c r="M27" s="14" t="s">
        <v>146</v>
      </c>
      <c r="N27" s="14" t="s">
        <v>47</v>
      </c>
      <c r="O27" s="14" t="s">
        <v>127</v>
      </c>
      <c r="P27" s="14">
        <v>1.5</v>
      </c>
      <c r="Q27" s="16">
        <v>150.0</v>
      </c>
      <c r="R27" s="16">
        <v>150.0</v>
      </c>
      <c r="S27" s="14">
        <v>1000.0</v>
      </c>
      <c r="T27" s="14">
        <v>10.0</v>
      </c>
      <c r="U27" s="14">
        <v>3.0</v>
      </c>
      <c r="V27" s="14">
        <v>0.2</v>
      </c>
      <c r="W27" s="14" t="s">
        <v>46</v>
      </c>
      <c r="X27" s="14" t="s">
        <v>46</v>
      </c>
      <c r="Y27" s="16">
        <v>0.0</v>
      </c>
      <c r="Z27" s="16">
        <v>100.5</v>
      </c>
      <c r="AA27" s="16">
        <v>0.0</v>
      </c>
      <c r="AB27" s="16">
        <v>0.0</v>
      </c>
      <c r="AC27" s="16">
        <v>0.0</v>
      </c>
      <c r="AD27" s="16">
        <v>49.5</v>
      </c>
      <c r="AE27" s="16">
        <v>0.0</v>
      </c>
      <c r="AF27" s="14"/>
      <c r="AG27" s="14"/>
      <c r="AH27" s="14"/>
      <c r="AI27" s="14"/>
      <c r="AJ27" s="14"/>
      <c r="AK27" s="8">
        <v>6.7</v>
      </c>
      <c r="AL27" s="9" t="s">
        <v>124</v>
      </c>
      <c r="AM27" s="9" t="s">
        <v>143</v>
      </c>
      <c r="AN27" s="9" t="s">
        <v>147</v>
      </c>
      <c r="AO27" s="9" t="s">
        <v>148</v>
      </c>
      <c r="AP27" s="11"/>
      <c r="AQ27" s="11"/>
      <c r="AR27" s="11"/>
      <c r="AS27" s="11"/>
      <c r="AT27" s="11"/>
      <c r="AU27" s="11"/>
      <c r="AV27" s="11"/>
      <c r="AW27" s="11"/>
      <c r="AX27" s="11"/>
      <c r="AY27" s="11"/>
      <c r="AZ27" s="11"/>
    </row>
    <row r="28" ht="15.75" customHeight="1">
      <c r="A28" s="12">
        <v>44516.0</v>
      </c>
      <c r="B28" s="13">
        <v>0.46875</v>
      </c>
      <c r="C28" s="14">
        <v>6.0</v>
      </c>
      <c r="D28" s="15" t="s">
        <v>102</v>
      </c>
      <c r="E28" s="15" t="s">
        <v>43</v>
      </c>
      <c r="F28" s="15" t="s">
        <v>43</v>
      </c>
      <c r="G28" s="15" t="s">
        <v>43</v>
      </c>
      <c r="H28" s="15" t="s">
        <v>43</v>
      </c>
      <c r="I28" s="15" t="s">
        <v>47</v>
      </c>
      <c r="J28" s="14" t="s">
        <v>46</v>
      </c>
      <c r="K28" s="14" t="s">
        <v>45</v>
      </c>
      <c r="L28" s="14" t="s">
        <v>46</v>
      </c>
      <c r="M28" s="14" t="s">
        <v>47</v>
      </c>
      <c r="N28" s="14" t="s">
        <v>47</v>
      </c>
      <c r="O28" s="14" t="s">
        <v>48</v>
      </c>
      <c r="P28" s="14">
        <v>1.5</v>
      </c>
      <c r="Q28" s="16">
        <v>150.0</v>
      </c>
      <c r="R28" s="16">
        <v>150.0</v>
      </c>
      <c r="S28" s="14">
        <v>1000.0</v>
      </c>
      <c r="T28" s="14">
        <v>10.0</v>
      </c>
      <c r="U28" s="14">
        <v>3.0</v>
      </c>
      <c r="V28" s="14">
        <v>0.2</v>
      </c>
      <c r="W28" s="14" t="s">
        <v>46</v>
      </c>
      <c r="X28" s="14" t="s">
        <v>46</v>
      </c>
      <c r="Y28" s="16">
        <v>49.5</v>
      </c>
      <c r="Z28" s="16">
        <v>0.0</v>
      </c>
      <c r="AA28" s="16">
        <v>0.0</v>
      </c>
      <c r="AB28" s="16">
        <v>0.0</v>
      </c>
      <c r="AC28" s="16">
        <v>0.0</v>
      </c>
      <c r="AD28" s="16">
        <v>100.5</v>
      </c>
      <c r="AE28" s="16">
        <v>0.0</v>
      </c>
      <c r="AF28" s="14"/>
      <c r="AG28" s="14"/>
      <c r="AH28" s="14"/>
      <c r="AI28" s="14"/>
      <c r="AJ28" s="14"/>
      <c r="AK28" s="8" t="s">
        <v>46</v>
      </c>
      <c r="AL28" s="9" t="s">
        <v>47</v>
      </c>
      <c r="AM28" s="9" t="s">
        <v>47</v>
      </c>
      <c r="AN28" s="9" t="s">
        <v>149</v>
      </c>
      <c r="AO28" s="9" t="s">
        <v>150</v>
      </c>
      <c r="AP28" s="11"/>
      <c r="AQ28" s="11"/>
      <c r="AR28" s="11"/>
      <c r="AS28" s="11"/>
      <c r="AT28" s="11"/>
      <c r="AU28" s="11"/>
      <c r="AV28" s="11"/>
      <c r="AW28" s="11"/>
      <c r="AX28" s="11"/>
      <c r="AY28" s="11"/>
      <c r="AZ28" s="11"/>
    </row>
    <row r="29" ht="15.75" customHeight="1">
      <c r="A29" s="12">
        <v>44623.0</v>
      </c>
      <c r="B29" s="13">
        <v>0.4305555555555556</v>
      </c>
      <c r="C29" s="14">
        <v>6.0</v>
      </c>
      <c r="D29" s="15" t="s">
        <v>102</v>
      </c>
      <c r="E29" s="15" t="s">
        <v>43</v>
      </c>
      <c r="F29" s="15" t="s">
        <v>43</v>
      </c>
      <c r="G29" s="15" t="s">
        <v>43</v>
      </c>
      <c r="H29" s="15" t="s">
        <v>43</v>
      </c>
      <c r="I29" s="15" t="s">
        <v>47</v>
      </c>
      <c r="J29" s="14" t="s">
        <v>46</v>
      </c>
      <c r="K29" s="14" t="s">
        <v>45</v>
      </c>
      <c r="L29" s="14" t="s">
        <v>46</v>
      </c>
      <c r="M29" s="14" t="s">
        <v>47</v>
      </c>
      <c r="N29" s="14" t="s">
        <v>47</v>
      </c>
      <c r="O29" s="14" t="s">
        <v>151</v>
      </c>
      <c r="P29" s="14" t="s">
        <v>152</v>
      </c>
      <c r="Q29" s="16">
        <f t="shared" ref="Q29:Q32" si="1">(((U29/W29*50)*10)/1000)*1000</f>
        <v>0</v>
      </c>
      <c r="R29" s="16">
        <v>0.0</v>
      </c>
      <c r="S29" s="14">
        <v>1000.0</v>
      </c>
      <c r="T29" s="14">
        <v>10.0</v>
      </c>
      <c r="U29" s="14">
        <v>0.0</v>
      </c>
      <c r="V29" s="14">
        <f t="shared" ref="V29:V32" si="2">W29/50</f>
        <v>0.2</v>
      </c>
      <c r="W29" s="14">
        <v>10.0</v>
      </c>
      <c r="X29" s="14" t="s">
        <v>46</v>
      </c>
      <c r="Y29" s="16">
        <v>0.0</v>
      </c>
      <c r="Z29" s="16">
        <v>0.0</v>
      </c>
      <c r="AA29" s="16">
        <v>0.0</v>
      </c>
      <c r="AB29" s="16">
        <v>0.0</v>
      </c>
      <c r="AC29" s="16">
        <v>0.0</v>
      </c>
      <c r="AD29" s="16">
        <v>0.0</v>
      </c>
      <c r="AE29" s="16">
        <v>0.0</v>
      </c>
      <c r="AF29" s="14" t="s">
        <v>46</v>
      </c>
      <c r="AG29" s="14" t="s">
        <v>46</v>
      </c>
      <c r="AH29" s="14" t="s">
        <v>46</v>
      </c>
      <c r="AI29" s="14" t="s">
        <v>46</v>
      </c>
      <c r="AJ29" s="14" t="s">
        <v>46</v>
      </c>
      <c r="AK29" s="8" t="s">
        <v>46</v>
      </c>
      <c r="AL29" s="9" t="s">
        <v>153</v>
      </c>
      <c r="AM29" s="9" t="s">
        <v>55</v>
      </c>
      <c r="AN29" s="9" t="s">
        <v>154</v>
      </c>
      <c r="AO29" s="9" t="s">
        <v>155</v>
      </c>
      <c r="AP29" s="11"/>
      <c r="AQ29" s="11"/>
      <c r="AR29" s="11"/>
      <c r="AS29" s="11"/>
      <c r="AT29" s="11"/>
      <c r="AU29" s="11"/>
      <c r="AV29" s="11"/>
      <c r="AW29" s="11"/>
      <c r="AX29" s="11"/>
      <c r="AY29" s="11"/>
      <c r="AZ29" s="11"/>
    </row>
    <row r="30" ht="15.75" customHeight="1">
      <c r="A30" s="12">
        <v>44643.0</v>
      </c>
      <c r="B30" s="13">
        <v>0.4722222222222222</v>
      </c>
      <c r="C30" s="14">
        <v>7.0</v>
      </c>
      <c r="D30" s="15" t="s">
        <v>102</v>
      </c>
      <c r="E30" s="15" t="s">
        <v>66</v>
      </c>
      <c r="F30" s="15" t="s">
        <v>42</v>
      </c>
      <c r="G30" s="15" t="s">
        <v>43</v>
      </c>
      <c r="H30" s="15" t="s">
        <v>43</v>
      </c>
      <c r="I30" s="15" t="s">
        <v>156</v>
      </c>
      <c r="J30" s="14" t="s">
        <v>60</v>
      </c>
      <c r="K30" s="14" t="s">
        <v>45</v>
      </c>
      <c r="L30" s="14" t="s">
        <v>46</v>
      </c>
      <c r="M30" s="14" t="s">
        <v>47</v>
      </c>
      <c r="N30" s="14" t="s">
        <v>47</v>
      </c>
      <c r="O30" s="14" t="s">
        <v>53</v>
      </c>
      <c r="P30" s="14">
        <v>1.5</v>
      </c>
      <c r="Q30" s="16">
        <f t="shared" si="1"/>
        <v>1166.666667</v>
      </c>
      <c r="R30" s="16">
        <v>1166.6666666666667</v>
      </c>
      <c r="S30" s="14">
        <v>1000.0</v>
      </c>
      <c r="T30" s="14">
        <v>10.0</v>
      </c>
      <c r="U30" s="14">
        <v>14.0</v>
      </c>
      <c r="V30" s="14">
        <f t="shared" si="2"/>
        <v>0.12</v>
      </c>
      <c r="W30" s="14">
        <v>6.0</v>
      </c>
      <c r="X30" s="14" t="s">
        <v>46</v>
      </c>
      <c r="Y30" s="16" t="s">
        <v>46</v>
      </c>
      <c r="Z30" s="16" t="s">
        <v>46</v>
      </c>
      <c r="AA30" s="16" t="s">
        <v>46</v>
      </c>
      <c r="AB30" s="16" t="s">
        <v>46</v>
      </c>
      <c r="AC30" s="16" t="s">
        <v>46</v>
      </c>
      <c r="AD30" s="16" t="s">
        <v>46</v>
      </c>
      <c r="AE30" s="16" t="s">
        <v>46</v>
      </c>
      <c r="AF30" s="14" t="s">
        <v>46</v>
      </c>
      <c r="AG30" s="14" t="s">
        <v>46</v>
      </c>
      <c r="AH30" s="14" t="s">
        <v>46</v>
      </c>
      <c r="AI30" s="14" t="s">
        <v>46</v>
      </c>
      <c r="AJ30" s="14" t="s">
        <v>46</v>
      </c>
      <c r="AK30" s="8" t="s">
        <v>46</v>
      </c>
      <c r="AL30" s="9" t="s">
        <v>153</v>
      </c>
      <c r="AM30" s="9" t="s">
        <v>143</v>
      </c>
      <c r="AN30" s="9" t="s">
        <v>157</v>
      </c>
      <c r="AO30" s="9" t="s">
        <v>158</v>
      </c>
      <c r="AP30" s="11"/>
      <c r="AQ30" s="11"/>
      <c r="AR30" s="11"/>
      <c r="AS30" s="11"/>
      <c r="AT30" s="11"/>
      <c r="AU30" s="11"/>
      <c r="AV30" s="11"/>
      <c r="AW30" s="11"/>
      <c r="AX30" s="11"/>
      <c r="AY30" s="11"/>
      <c r="AZ30" s="11"/>
    </row>
    <row r="31" ht="15.75" customHeight="1">
      <c r="A31" s="12">
        <v>44651.0</v>
      </c>
      <c r="B31" s="13">
        <v>0.5416666666666666</v>
      </c>
      <c r="C31" s="14">
        <v>4.8</v>
      </c>
      <c r="D31" s="15" t="s">
        <v>102</v>
      </c>
      <c r="E31" s="15" t="s">
        <v>159</v>
      </c>
      <c r="F31" s="15" t="s">
        <v>42</v>
      </c>
      <c r="G31" s="15" t="s">
        <v>43</v>
      </c>
      <c r="H31" s="15" t="s">
        <v>43</v>
      </c>
      <c r="I31" s="15" t="s">
        <v>160</v>
      </c>
      <c r="J31" s="14" t="s">
        <v>52</v>
      </c>
      <c r="K31" s="14" t="s">
        <v>68</v>
      </c>
      <c r="L31" s="14" t="s">
        <v>161</v>
      </c>
      <c r="M31" s="14" t="s">
        <v>47</v>
      </c>
      <c r="N31" s="14" t="s">
        <v>47</v>
      </c>
      <c r="O31" s="14" t="s">
        <v>162</v>
      </c>
      <c r="P31" s="14">
        <v>1.5</v>
      </c>
      <c r="Q31" s="16">
        <f t="shared" si="1"/>
        <v>0</v>
      </c>
      <c r="R31" s="16">
        <v>0.0</v>
      </c>
      <c r="S31" s="14">
        <v>1000.0</v>
      </c>
      <c r="T31" s="14">
        <v>10.0</v>
      </c>
      <c r="U31" s="14">
        <v>0.0</v>
      </c>
      <c r="V31" s="14">
        <f t="shared" si="2"/>
        <v>0.12</v>
      </c>
      <c r="W31" s="14">
        <v>6.0</v>
      </c>
      <c r="X31" s="14" t="s">
        <v>46</v>
      </c>
      <c r="Y31" s="16">
        <v>0.0</v>
      </c>
      <c r="Z31" s="16">
        <v>0.0</v>
      </c>
      <c r="AA31" s="16">
        <v>0.0</v>
      </c>
      <c r="AB31" s="16">
        <v>0.0</v>
      </c>
      <c r="AC31" s="16">
        <v>0.0</v>
      </c>
      <c r="AD31" s="16">
        <v>0.0</v>
      </c>
      <c r="AE31" s="16">
        <v>0.0</v>
      </c>
      <c r="AF31" s="14">
        <v>4.0</v>
      </c>
      <c r="AG31" s="14" t="s">
        <v>163</v>
      </c>
      <c r="AH31" s="14" t="s">
        <v>163</v>
      </c>
      <c r="AI31" s="14">
        <v>50.0</v>
      </c>
      <c r="AJ31" s="14">
        <v>50.0</v>
      </c>
      <c r="AK31" s="8" t="s">
        <v>46</v>
      </c>
      <c r="AL31" s="9" t="s">
        <v>153</v>
      </c>
      <c r="AM31" s="9" t="s">
        <v>143</v>
      </c>
      <c r="AN31" s="9" t="s">
        <v>164</v>
      </c>
      <c r="AO31" s="9" t="s">
        <v>165</v>
      </c>
      <c r="AP31" s="11"/>
      <c r="AQ31" s="11"/>
      <c r="AR31" s="11"/>
      <c r="AS31" s="11"/>
      <c r="AT31" s="11"/>
      <c r="AU31" s="11"/>
      <c r="AV31" s="11"/>
      <c r="AW31" s="11"/>
      <c r="AX31" s="11"/>
      <c r="AY31" s="11"/>
      <c r="AZ31" s="11"/>
    </row>
    <row r="32" ht="15.75" customHeight="1">
      <c r="A32" s="12">
        <v>44657.0</v>
      </c>
      <c r="B32" s="13">
        <v>0.4479166666666667</v>
      </c>
      <c r="C32" s="14">
        <v>6.4</v>
      </c>
      <c r="D32" s="15" t="s">
        <v>102</v>
      </c>
      <c r="E32" s="15" t="s">
        <v>166</v>
      </c>
      <c r="F32" s="15" t="s">
        <v>79</v>
      </c>
      <c r="G32" s="15" t="s">
        <v>43</v>
      </c>
      <c r="H32" s="15" t="s">
        <v>43</v>
      </c>
      <c r="I32" s="15" t="s">
        <v>167</v>
      </c>
      <c r="J32" s="14" t="s">
        <v>52</v>
      </c>
      <c r="K32" s="14" t="s">
        <v>68</v>
      </c>
      <c r="L32" s="14" t="s">
        <v>168</v>
      </c>
      <c r="M32" s="14" t="s">
        <v>47</v>
      </c>
      <c r="N32" s="14" t="s">
        <v>47</v>
      </c>
      <c r="O32" s="14" t="s">
        <v>48</v>
      </c>
      <c r="P32" s="14">
        <v>1.5</v>
      </c>
      <c r="Q32" s="16">
        <f t="shared" si="1"/>
        <v>0</v>
      </c>
      <c r="R32" s="16">
        <v>0.0</v>
      </c>
      <c r="S32" s="14">
        <v>1000.0</v>
      </c>
      <c r="T32" s="14">
        <v>10.0</v>
      </c>
      <c r="U32" s="14">
        <v>0.0</v>
      </c>
      <c r="V32" s="14">
        <f t="shared" si="2"/>
        <v>0.12</v>
      </c>
      <c r="W32" s="14">
        <v>6.0</v>
      </c>
      <c r="X32" s="14">
        <f>3/W32*50*T32/S32*1000</f>
        <v>250</v>
      </c>
      <c r="Y32" s="16">
        <v>0.0</v>
      </c>
      <c r="Z32" s="16">
        <v>0.0</v>
      </c>
      <c r="AA32" s="16">
        <v>0.0</v>
      </c>
      <c r="AB32" s="16">
        <v>0.0</v>
      </c>
      <c r="AC32" s="16">
        <v>0.0</v>
      </c>
      <c r="AD32" s="16">
        <v>0.0</v>
      </c>
      <c r="AE32" s="16">
        <v>0.0</v>
      </c>
      <c r="AF32" s="14">
        <v>6.0</v>
      </c>
      <c r="AG32" s="14" t="s">
        <v>163</v>
      </c>
      <c r="AH32" s="14" t="s">
        <v>163</v>
      </c>
      <c r="AI32" s="14">
        <v>50.0</v>
      </c>
      <c r="AJ32" s="14">
        <v>50.0</v>
      </c>
      <c r="AK32" s="8" t="s">
        <v>46</v>
      </c>
      <c r="AL32" s="9" t="s">
        <v>169</v>
      </c>
      <c r="AM32" s="9"/>
      <c r="AN32" s="9"/>
      <c r="AO32" s="9" t="s">
        <v>170</v>
      </c>
      <c r="AP32" s="11"/>
      <c r="AQ32" s="11"/>
      <c r="AR32" s="11"/>
      <c r="AS32" s="11"/>
      <c r="AT32" s="11"/>
      <c r="AU32" s="11"/>
      <c r="AV32" s="11"/>
      <c r="AW32" s="11"/>
      <c r="AX32" s="11"/>
      <c r="AY32" s="11"/>
      <c r="AZ32" s="11"/>
    </row>
    <row r="33" ht="15.75" customHeight="1">
      <c r="A33" s="12">
        <v>44665.0</v>
      </c>
      <c r="B33" s="13"/>
      <c r="C33" s="14" t="s">
        <v>46</v>
      </c>
      <c r="D33" s="15" t="s">
        <v>102</v>
      </c>
      <c r="E33" s="15" t="s">
        <v>66</v>
      </c>
      <c r="F33" s="15" t="s">
        <v>79</v>
      </c>
      <c r="G33" s="15" t="s">
        <v>171</v>
      </c>
      <c r="H33" s="15" t="s">
        <v>134</v>
      </c>
      <c r="I33" s="15" t="s">
        <v>167</v>
      </c>
      <c r="J33" s="14" t="s">
        <v>52</v>
      </c>
      <c r="K33" s="14" t="s">
        <v>68</v>
      </c>
      <c r="L33" s="14" t="s">
        <v>172</v>
      </c>
      <c r="M33" s="14" t="s">
        <v>46</v>
      </c>
      <c r="N33" s="14" t="s">
        <v>46</v>
      </c>
      <c r="O33" s="14" t="s">
        <v>46</v>
      </c>
      <c r="P33" s="14" t="s">
        <v>46</v>
      </c>
      <c r="Q33" s="16" t="s">
        <v>46</v>
      </c>
      <c r="R33" s="16" t="s">
        <v>46</v>
      </c>
      <c r="S33" s="14" t="s">
        <v>46</v>
      </c>
      <c r="T33" s="14" t="s">
        <v>46</v>
      </c>
      <c r="U33" s="14" t="s">
        <v>46</v>
      </c>
      <c r="V33" s="14" t="s">
        <v>46</v>
      </c>
      <c r="W33" s="14" t="s">
        <v>46</v>
      </c>
      <c r="X33" s="14" t="s">
        <v>46</v>
      </c>
      <c r="Y33" s="16" t="s">
        <v>46</v>
      </c>
      <c r="Z33" s="16" t="s">
        <v>46</v>
      </c>
      <c r="AA33" s="16" t="s">
        <v>46</v>
      </c>
      <c r="AB33" s="16" t="s">
        <v>46</v>
      </c>
      <c r="AC33" s="16" t="s">
        <v>46</v>
      </c>
      <c r="AD33" s="16" t="s">
        <v>46</v>
      </c>
      <c r="AE33" s="16" t="s">
        <v>46</v>
      </c>
      <c r="AF33" s="14"/>
      <c r="AG33" s="14"/>
      <c r="AH33" s="14"/>
      <c r="AI33" s="14"/>
      <c r="AJ33" s="14"/>
      <c r="AK33" s="8" t="s">
        <v>46</v>
      </c>
      <c r="AL33" s="9"/>
      <c r="AM33" s="9"/>
      <c r="AN33" s="9"/>
      <c r="AO33" s="9"/>
      <c r="AP33" s="11"/>
      <c r="AQ33" s="11"/>
      <c r="AR33" s="11"/>
      <c r="AS33" s="11"/>
      <c r="AT33" s="11"/>
      <c r="AU33" s="11"/>
      <c r="AV33" s="11"/>
      <c r="AW33" s="11"/>
      <c r="AX33" s="11"/>
      <c r="AY33" s="11"/>
      <c r="AZ33" s="11"/>
    </row>
    <row r="34" ht="15.75" customHeight="1">
      <c r="A34" s="12">
        <v>44679.0</v>
      </c>
      <c r="B34" s="13">
        <v>0.4583333333333333</v>
      </c>
      <c r="C34" s="14">
        <v>4.4</v>
      </c>
      <c r="D34" s="15" t="s">
        <v>102</v>
      </c>
      <c r="E34" s="15" t="s">
        <v>171</v>
      </c>
      <c r="F34" s="15" t="s">
        <v>42</v>
      </c>
      <c r="G34" s="15" t="s">
        <v>43</v>
      </c>
      <c r="H34" s="15" t="s">
        <v>43</v>
      </c>
      <c r="I34" s="15" t="s">
        <v>160</v>
      </c>
      <c r="J34" s="14" t="s">
        <v>52</v>
      </c>
      <c r="K34" s="14" t="s">
        <v>68</v>
      </c>
      <c r="L34" s="14" t="s">
        <v>173</v>
      </c>
      <c r="M34" s="14" t="s">
        <v>47</v>
      </c>
      <c r="N34" s="14" t="s">
        <v>47</v>
      </c>
      <c r="O34" s="14" t="s">
        <v>48</v>
      </c>
      <c r="P34" s="14">
        <v>1.5</v>
      </c>
      <c r="Q34" s="16">
        <f t="shared" ref="Q34:Q37" si="3">(((U34/W34*50)*10)/1000)*1000</f>
        <v>50</v>
      </c>
      <c r="R34" s="20">
        <v>50.0</v>
      </c>
      <c r="S34" s="14">
        <v>1000.0</v>
      </c>
      <c r="T34" s="14">
        <v>10.0</v>
      </c>
      <c r="U34" s="14">
        <v>1.0</v>
      </c>
      <c r="V34" s="14">
        <f t="shared" ref="V34:V36" si="4">W34/50</f>
        <v>0.2</v>
      </c>
      <c r="W34" s="14">
        <v>10.0</v>
      </c>
      <c r="X34" s="14" t="s">
        <v>46</v>
      </c>
      <c r="Y34" s="16" t="s">
        <v>46</v>
      </c>
      <c r="Z34" s="16" t="s">
        <v>46</v>
      </c>
      <c r="AA34" s="16" t="s">
        <v>46</v>
      </c>
      <c r="AB34" s="16" t="s">
        <v>46</v>
      </c>
      <c r="AC34" s="16" t="s">
        <v>46</v>
      </c>
      <c r="AD34" s="16" t="s">
        <v>46</v>
      </c>
      <c r="AE34" s="16" t="s">
        <v>46</v>
      </c>
      <c r="AF34" s="14">
        <v>6.0</v>
      </c>
      <c r="AG34" s="14" t="s">
        <v>163</v>
      </c>
      <c r="AH34" s="14" t="s">
        <v>163</v>
      </c>
      <c r="AI34" s="14">
        <v>50.0</v>
      </c>
      <c r="AJ34" s="14">
        <v>50.0</v>
      </c>
      <c r="AK34" s="8" t="s">
        <v>46</v>
      </c>
      <c r="AL34" s="9" t="s">
        <v>174</v>
      </c>
      <c r="AM34" s="9" t="s">
        <v>124</v>
      </c>
      <c r="AN34" s="9" t="s">
        <v>175</v>
      </c>
      <c r="AO34" s="9" t="s">
        <v>176</v>
      </c>
      <c r="AP34" s="11"/>
      <c r="AQ34" s="11"/>
      <c r="AR34" s="11"/>
      <c r="AS34" s="11"/>
      <c r="AT34" s="11"/>
      <c r="AU34" s="11"/>
      <c r="AV34" s="11"/>
      <c r="AW34" s="11"/>
      <c r="AX34" s="11"/>
      <c r="AY34" s="11"/>
      <c r="AZ34" s="11"/>
    </row>
    <row r="35" ht="15.75" customHeight="1">
      <c r="A35" s="12">
        <v>44699.0</v>
      </c>
      <c r="B35" s="13">
        <v>0.4583333333333333</v>
      </c>
      <c r="C35" s="14">
        <v>5.0</v>
      </c>
      <c r="D35" s="15" t="s">
        <v>102</v>
      </c>
      <c r="E35" s="15" t="s">
        <v>114</v>
      </c>
      <c r="F35" s="15" t="s">
        <v>66</v>
      </c>
      <c r="G35" s="15" t="s">
        <v>43</v>
      </c>
      <c r="H35" s="15" t="s">
        <v>43</v>
      </c>
      <c r="I35" s="15" t="s">
        <v>160</v>
      </c>
      <c r="J35" s="14" t="s">
        <v>52</v>
      </c>
      <c r="K35" s="14" t="s">
        <v>68</v>
      </c>
      <c r="L35" s="14" t="s">
        <v>177</v>
      </c>
      <c r="M35" s="14" t="s">
        <v>178</v>
      </c>
      <c r="N35" s="14" t="s">
        <v>47</v>
      </c>
      <c r="O35" s="14" t="s">
        <v>50</v>
      </c>
      <c r="P35" s="14">
        <v>1.5</v>
      </c>
      <c r="Q35" s="16">
        <f t="shared" si="3"/>
        <v>0</v>
      </c>
      <c r="R35" s="16">
        <v>0.0</v>
      </c>
      <c r="S35" s="14">
        <v>1000.0</v>
      </c>
      <c r="T35" s="14">
        <v>10.0</v>
      </c>
      <c r="U35" s="14">
        <v>0.0</v>
      </c>
      <c r="V35" s="14">
        <f t="shared" si="4"/>
        <v>0.12</v>
      </c>
      <c r="W35" s="14">
        <v>6.0</v>
      </c>
      <c r="X35" s="14" t="s">
        <v>46</v>
      </c>
      <c r="Y35" s="16">
        <v>0.0</v>
      </c>
      <c r="Z35" s="16">
        <v>0.0</v>
      </c>
      <c r="AA35" s="16">
        <v>0.0</v>
      </c>
      <c r="AB35" s="16">
        <v>0.0</v>
      </c>
      <c r="AC35" s="16">
        <v>0.0</v>
      </c>
      <c r="AD35" s="16">
        <v>0.0</v>
      </c>
      <c r="AE35" s="16">
        <v>0.0</v>
      </c>
      <c r="AF35" s="14">
        <v>6.0</v>
      </c>
      <c r="AG35" s="14" t="s">
        <v>163</v>
      </c>
      <c r="AH35" s="14" t="s">
        <v>163</v>
      </c>
      <c r="AI35" s="14">
        <v>50.0</v>
      </c>
      <c r="AJ35" s="14">
        <v>50.0</v>
      </c>
      <c r="AK35" s="8" t="s">
        <v>46</v>
      </c>
      <c r="AL35" s="9" t="s">
        <v>179</v>
      </c>
      <c r="AM35" s="9" t="s">
        <v>180</v>
      </c>
      <c r="AN35" s="9" t="s">
        <v>181</v>
      </c>
      <c r="AO35" s="9" t="s">
        <v>182</v>
      </c>
      <c r="AP35" s="11"/>
      <c r="AQ35" s="11"/>
      <c r="AR35" s="11"/>
      <c r="AS35" s="11"/>
      <c r="AT35" s="11"/>
      <c r="AU35" s="11"/>
      <c r="AV35" s="11"/>
      <c r="AW35" s="11"/>
      <c r="AX35" s="11"/>
      <c r="AY35" s="11"/>
      <c r="AZ35" s="11"/>
    </row>
    <row r="36" ht="15.75" customHeight="1">
      <c r="A36" s="12">
        <v>44713.0</v>
      </c>
      <c r="B36" s="13">
        <v>0.4583333333333333</v>
      </c>
      <c r="C36" s="14">
        <v>4.2</v>
      </c>
      <c r="D36" s="15" t="s">
        <v>102</v>
      </c>
      <c r="E36" s="15" t="s">
        <v>183</v>
      </c>
      <c r="F36" s="15" t="s">
        <v>49</v>
      </c>
      <c r="G36" s="15" t="s">
        <v>43</v>
      </c>
      <c r="H36" s="15" t="s">
        <v>43</v>
      </c>
      <c r="I36" s="15" t="s">
        <v>184</v>
      </c>
      <c r="J36" s="14" t="s">
        <v>52</v>
      </c>
      <c r="K36" s="14" t="s">
        <v>68</v>
      </c>
      <c r="L36" s="14" t="s">
        <v>185</v>
      </c>
      <c r="M36" s="14" t="s">
        <v>47</v>
      </c>
      <c r="N36" s="14" t="s">
        <v>47</v>
      </c>
      <c r="O36" s="14" t="s">
        <v>50</v>
      </c>
      <c r="P36" s="14">
        <v>1.5</v>
      </c>
      <c r="Q36" s="16">
        <f t="shared" si="3"/>
        <v>62.5</v>
      </c>
      <c r="R36" s="20">
        <v>63.0</v>
      </c>
      <c r="S36" s="14">
        <v>1000.0</v>
      </c>
      <c r="T36" s="14">
        <v>10.0</v>
      </c>
      <c r="U36" s="14">
        <v>1.0</v>
      </c>
      <c r="V36" s="14">
        <f t="shared" si="4"/>
        <v>0.16</v>
      </c>
      <c r="W36" s="14">
        <v>8.0</v>
      </c>
      <c r="X36" s="14" t="s">
        <v>46</v>
      </c>
      <c r="Y36" s="16">
        <v>0.0</v>
      </c>
      <c r="Z36" s="16">
        <v>0.0</v>
      </c>
      <c r="AA36" s="16">
        <v>0.0</v>
      </c>
      <c r="AB36" s="16">
        <v>0.0</v>
      </c>
      <c r="AC36" s="16">
        <v>0.0</v>
      </c>
      <c r="AD36" s="16">
        <v>0.0</v>
      </c>
      <c r="AE36" s="16">
        <v>0.0</v>
      </c>
      <c r="AF36" s="14">
        <v>6.0</v>
      </c>
      <c r="AG36" s="14" t="s">
        <v>163</v>
      </c>
      <c r="AH36" s="14" t="s">
        <v>163</v>
      </c>
      <c r="AI36" s="14">
        <v>50.0</v>
      </c>
      <c r="AJ36" s="14">
        <v>50.0</v>
      </c>
      <c r="AK36" s="8" t="s">
        <v>46</v>
      </c>
      <c r="AL36" s="9" t="s">
        <v>47</v>
      </c>
      <c r="AM36" s="9" t="s">
        <v>186</v>
      </c>
      <c r="AN36" s="9" t="s">
        <v>187</v>
      </c>
      <c r="AO36" s="9" t="s">
        <v>188</v>
      </c>
      <c r="AP36" s="11"/>
      <c r="AQ36" s="11"/>
      <c r="AR36" s="11"/>
      <c r="AS36" s="11"/>
      <c r="AT36" s="11"/>
      <c r="AU36" s="11"/>
      <c r="AV36" s="11"/>
      <c r="AW36" s="11"/>
      <c r="AX36" s="11"/>
      <c r="AY36" s="11"/>
      <c r="AZ36" s="11"/>
    </row>
    <row r="37" ht="15.75" customHeight="1">
      <c r="A37" s="12">
        <v>44720.0</v>
      </c>
      <c r="B37" s="13">
        <v>0.4722222222222222</v>
      </c>
      <c r="C37" s="14">
        <v>5.0</v>
      </c>
      <c r="D37" s="15" t="s">
        <v>102</v>
      </c>
      <c r="E37" s="15" t="s">
        <v>43</v>
      </c>
      <c r="F37" s="15" t="s">
        <v>43</v>
      </c>
      <c r="G37" s="15" t="s">
        <v>43</v>
      </c>
      <c r="H37" s="15" t="s">
        <v>43</v>
      </c>
      <c r="I37" s="15" t="s">
        <v>47</v>
      </c>
      <c r="J37" s="14" t="s">
        <v>46</v>
      </c>
      <c r="K37" s="14" t="s">
        <v>45</v>
      </c>
      <c r="L37" s="14" t="s">
        <v>46</v>
      </c>
      <c r="M37" s="14" t="s">
        <v>47</v>
      </c>
      <c r="N37" s="14" t="s">
        <v>47</v>
      </c>
      <c r="O37" s="14" t="s">
        <v>48</v>
      </c>
      <c r="P37" s="14">
        <v>1.5</v>
      </c>
      <c r="Q37" s="16">
        <f t="shared" si="3"/>
        <v>50</v>
      </c>
      <c r="R37" s="16">
        <v>50.0</v>
      </c>
      <c r="S37" s="14">
        <v>1000.0</v>
      </c>
      <c r="T37" s="14">
        <v>10.0</v>
      </c>
      <c r="U37" s="14">
        <v>1.0</v>
      </c>
      <c r="V37" s="14">
        <v>0.2</v>
      </c>
      <c r="W37" s="14">
        <v>10.0</v>
      </c>
      <c r="X37" s="14">
        <f>4/W37*50*T37/S37*1000</f>
        <v>200</v>
      </c>
      <c r="Y37" s="16">
        <v>50.0</v>
      </c>
      <c r="Z37" s="16">
        <v>0.0</v>
      </c>
      <c r="AA37" s="16">
        <v>0.0</v>
      </c>
      <c r="AB37" s="16">
        <v>0.0</v>
      </c>
      <c r="AC37" s="16">
        <v>0.0</v>
      </c>
      <c r="AD37" s="16">
        <v>0.0</v>
      </c>
      <c r="AE37" s="16">
        <v>0.0</v>
      </c>
      <c r="AF37" s="14">
        <v>6.0</v>
      </c>
      <c r="AG37" s="14" t="s">
        <v>163</v>
      </c>
      <c r="AH37" s="14" t="s">
        <v>163</v>
      </c>
      <c r="AI37" s="14">
        <v>50.0</v>
      </c>
      <c r="AJ37" s="14">
        <v>50.0</v>
      </c>
      <c r="AK37" s="8" t="s">
        <v>46</v>
      </c>
      <c r="AL37" s="9" t="s">
        <v>189</v>
      </c>
      <c r="AM37" s="9" t="s">
        <v>190</v>
      </c>
      <c r="AN37" s="9" t="s">
        <v>191</v>
      </c>
      <c r="AO37" s="9" t="s">
        <v>192</v>
      </c>
      <c r="AP37" s="11"/>
      <c r="AQ37" s="11"/>
      <c r="AR37" s="11"/>
      <c r="AS37" s="11"/>
      <c r="AT37" s="11"/>
      <c r="AU37" s="11"/>
      <c r="AV37" s="11"/>
      <c r="AW37" s="11"/>
      <c r="AX37" s="11"/>
      <c r="AY37" s="11"/>
      <c r="AZ37" s="11"/>
    </row>
    <row r="38" ht="15.75" customHeight="1">
      <c r="A38" s="12">
        <v>44726.0</v>
      </c>
      <c r="B38" s="13"/>
      <c r="C38" s="14" t="s">
        <v>46</v>
      </c>
      <c r="D38" s="15" t="s">
        <v>102</v>
      </c>
      <c r="E38" s="15" t="s">
        <v>43</v>
      </c>
      <c r="F38" s="15" t="s">
        <v>43</v>
      </c>
      <c r="G38" s="15" t="s">
        <v>43</v>
      </c>
      <c r="H38" s="15" t="s">
        <v>43</v>
      </c>
      <c r="I38" s="15" t="s">
        <v>47</v>
      </c>
      <c r="J38" s="14" t="s">
        <v>46</v>
      </c>
      <c r="K38" s="14" t="s">
        <v>45</v>
      </c>
      <c r="L38" s="14" t="s">
        <v>46</v>
      </c>
      <c r="M38" s="14" t="s">
        <v>47</v>
      </c>
      <c r="N38" s="14" t="s">
        <v>47</v>
      </c>
      <c r="O38" s="14" t="s">
        <v>193</v>
      </c>
      <c r="P38" s="14">
        <v>1.5</v>
      </c>
      <c r="Q38" s="16">
        <v>0.0</v>
      </c>
      <c r="R38" s="16">
        <v>0.0</v>
      </c>
      <c r="S38" s="14" t="s">
        <v>46</v>
      </c>
      <c r="T38" s="14" t="s">
        <v>46</v>
      </c>
      <c r="U38" s="14" t="s">
        <v>46</v>
      </c>
      <c r="V38" s="14" t="s">
        <v>46</v>
      </c>
      <c r="W38" s="14" t="s">
        <v>128</v>
      </c>
      <c r="X38" s="14" t="s">
        <v>46</v>
      </c>
      <c r="Y38" s="16">
        <v>0.0</v>
      </c>
      <c r="Z38" s="16">
        <v>0.0</v>
      </c>
      <c r="AA38" s="16">
        <v>0.0</v>
      </c>
      <c r="AB38" s="16">
        <v>0.0</v>
      </c>
      <c r="AC38" s="16">
        <v>0.0</v>
      </c>
      <c r="AD38" s="16">
        <v>0.0</v>
      </c>
      <c r="AE38" s="16">
        <v>0.0</v>
      </c>
      <c r="AF38" s="14">
        <v>6.0</v>
      </c>
      <c r="AG38" s="14" t="s">
        <v>163</v>
      </c>
      <c r="AH38" s="14" t="s">
        <v>163</v>
      </c>
      <c r="AI38" s="14">
        <v>50.0</v>
      </c>
      <c r="AJ38" s="14">
        <v>50.0</v>
      </c>
      <c r="AK38" s="8" t="s">
        <v>46</v>
      </c>
      <c r="AL38" s="9"/>
      <c r="AM38" s="9"/>
      <c r="AN38" s="9"/>
      <c r="AO38" s="9"/>
      <c r="AP38" s="11"/>
      <c r="AQ38" s="11"/>
      <c r="AR38" s="11"/>
      <c r="AS38" s="11"/>
      <c r="AT38" s="11"/>
      <c r="AU38" s="11"/>
      <c r="AV38" s="11"/>
      <c r="AW38" s="11"/>
      <c r="AX38" s="11"/>
      <c r="AY38" s="11"/>
      <c r="AZ38" s="11"/>
    </row>
    <row r="39" ht="15.75" customHeight="1">
      <c r="A39" s="12">
        <v>44735.0</v>
      </c>
      <c r="B39" s="13">
        <v>0.4791666666666667</v>
      </c>
      <c r="C39" s="14">
        <v>5.7</v>
      </c>
      <c r="D39" s="15" t="s">
        <v>102</v>
      </c>
      <c r="E39" s="15" t="s">
        <v>42</v>
      </c>
      <c r="F39" s="15" t="s">
        <v>79</v>
      </c>
      <c r="G39" s="15" t="s">
        <v>43</v>
      </c>
      <c r="H39" s="15" t="s">
        <v>43</v>
      </c>
      <c r="I39" s="15" t="s">
        <v>194</v>
      </c>
      <c r="J39" s="14" t="s">
        <v>60</v>
      </c>
      <c r="K39" s="14" t="s">
        <v>45</v>
      </c>
      <c r="L39" s="14" t="s">
        <v>46</v>
      </c>
      <c r="M39" s="14" t="s">
        <v>47</v>
      </c>
      <c r="N39" s="14" t="s">
        <v>47</v>
      </c>
      <c r="O39" s="14" t="s">
        <v>48</v>
      </c>
      <c r="P39" s="14">
        <v>1.5</v>
      </c>
      <c r="Q39" s="16">
        <f t="shared" ref="Q39:Q41" si="5">(((U39/W39*50)*10)/1000)*1000</f>
        <v>0</v>
      </c>
      <c r="R39" s="16">
        <v>0.0</v>
      </c>
      <c r="S39" s="14">
        <v>1000.0</v>
      </c>
      <c r="T39" s="14">
        <v>10.0</v>
      </c>
      <c r="U39" s="14">
        <v>0.0</v>
      </c>
      <c r="V39" s="14">
        <v>0.2</v>
      </c>
      <c r="W39" s="14">
        <v>10.0</v>
      </c>
      <c r="X39" s="14" t="s">
        <v>46</v>
      </c>
      <c r="Y39" s="16">
        <v>0.0</v>
      </c>
      <c r="Z39" s="16">
        <v>0.0</v>
      </c>
      <c r="AA39" s="16">
        <v>0.0</v>
      </c>
      <c r="AB39" s="16">
        <v>0.0</v>
      </c>
      <c r="AC39" s="16">
        <v>0.0</v>
      </c>
      <c r="AD39" s="16">
        <v>0.0</v>
      </c>
      <c r="AE39" s="16">
        <v>0.0</v>
      </c>
      <c r="AF39" s="14">
        <v>5.0</v>
      </c>
      <c r="AG39" s="14" t="s">
        <v>163</v>
      </c>
      <c r="AH39" s="14" t="s">
        <v>163</v>
      </c>
      <c r="AI39" s="14">
        <v>50.0</v>
      </c>
      <c r="AJ39" s="14">
        <v>50.0</v>
      </c>
      <c r="AK39" s="8" t="s">
        <v>46</v>
      </c>
      <c r="AL39" s="9" t="s">
        <v>195</v>
      </c>
      <c r="AM39" s="9" t="s">
        <v>196</v>
      </c>
      <c r="AN39" s="9" t="s">
        <v>197</v>
      </c>
      <c r="AO39" s="9" t="s">
        <v>198</v>
      </c>
      <c r="AP39" s="11"/>
      <c r="AQ39" s="11"/>
      <c r="AR39" s="11"/>
      <c r="AS39" s="11"/>
      <c r="AT39" s="11"/>
      <c r="AU39" s="11"/>
      <c r="AV39" s="11"/>
      <c r="AW39" s="11"/>
      <c r="AX39" s="11"/>
      <c r="AY39" s="11"/>
      <c r="AZ39" s="11"/>
    </row>
    <row r="40" ht="15.75" customHeight="1">
      <c r="A40" s="12">
        <v>44742.0</v>
      </c>
      <c r="B40" s="13">
        <v>0.46875</v>
      </c>
      <c r="C40" s="14">
        <v>4.2</v>
      </c>
      <c r="D40" s="15" t="s">
        <v>102</v>
      </c>
      <c r="E40" s="15" t="s">
        <v>199</v>
      </c>
      <c r="F40" s="15" t="s">
        <v>76</v>
      </c>
      <c r="G40" s="15" t="s">
        <v>49</v>
      </c>
      <c r="H40" s="15" t="s">
        <v>42</v>
      </c>
      <c r="I40" s="15" t="s">
        <v>200</v>
      </c>
      <c r="J40" s="14" t="s">
        <v>44</v>
      </c>
      <c r="K40" s="14" t="s">
        <v>45</v>
      </c>
      <c r="L40" s="14" t="s">
        <v>46</v>
      </c>
      <c r="M40" s="14" t="s">
        <v>47</v>
      </c>
      <c r="N40" s="14" t="s">
        <v>47</v>
      </c>
      <c r="O40" s="14" t="s">
        <v>48</v>
      </c>
      <c r="P40" s="14">
        <v>1.5</v>
      </c>
      <c r="Q40" s="16">
        <f t="shared" si="5"/>
        <v>7125</v>
      </c>
      <c r="R40" s="16">
        <v>7125.0</v>
      </c>
      <c r="S40" s="14">
        <v>1000.0</v>
      </c>
      <c r="T40" s="14">
        <v>10.0</v>
      </c>
      <c r="U40" s="14">
        <v>114.0</v>
      </c>
      <c r="V40" s="14">
        <f t="shared" ref="V40:V41" si="6">W40/50</f>
        <v>0.16</v>
      </c>
      <c r="W40" s="14">
        <v>8.0</v>
      </c>
      <c r="X40" s="14" t="s">
        <v>46</v>
      </c>
      <c r="Y40" s="16">
        <v>5343.75</v>
      </c>
      <c r="Z40" s="16">
        <v>1781.25</v>
      </c>
      <c r="AA40" s="16">
        <v>0.0</v>
      </c>
      <c r="AB40" s="16">
        <v>0.0</v>
      </c>
      <c r="AC40" s="16">
        <v>0.0</v>
      </c>
      <c r="AD40" s="16">
        <v>0.0</v>
      </c>
      <c r="AE40" s="16">
        <v>0.0</v>
      </c>
      <c r="AF40" s="14">
        <v>6.0</v>
      </c>
      <c r="AG40" s="14" t="s">
        <v>163</v>
      </c>
      <c r="AH40" s="14" t="s">
        <v>163</v>
      </c>
      <c r="AI40" s="14">
        <v>50.0</v>
      </c>
      <c r="AJ40" s="14">
        <v>50.0</v>
      </c>
      <c r="AK40" s="8" t="s">
        <v>46</v>
      </c>
      <c r="AL40" s="9" t="s">
        <v>201</v>
      </c>
      <c r="AM40" s="9" t="s">
        <v>202</v>
      </c>
      <c r="AN40" s="9" t="s">
        <v>203</v>
      </c>
      <c r="AO40" s="9" t="s">
        <v>170</v>
      </c>
      <c r="AP40" s="11"/>
      <c r="AQ40" s="11"/>
      <c r="AR40" s="11"/>
      <c r="AS40" s="11"/>
      <c r="AT40" s="11"/>
      <c r="AU40" s="11"/>
      <c r="AV40" s="11"/>
      <c r="AW40" s="11"/>
      <c r="AX40" s="11"/>
      <c r="AY40" s="11"/>
      <c r="AZ40" s="11"/>
    </row>
    <row r="41" ht="15.75" customHeight="1">
      <c r="A41" s="12">
        <v>44748.0</v>
      </c>
      <c r="B41" s="13">
        <v>0.4548611111111111</v>
      </c>
      <c r="C41" s="14">
        <v>6.6</v>
      </c>
      <c r="D41" s="15" t="s">
        <v>102</v>
      </c>
      <c r="E41" s="15" t="s">
        <v>66</v>
      </c>
      <c r="F41" s="15" t="s">
        <v>79</v>
      </c>
      <c r="G41" s="15" t="s">
        <v>43</v>
      </c>
      <c r="H41" s="15" t="s">
        <v>43</v>
      </c>
      <c r="I41" s="15" t="s">
        <v>194</v>
      </c>
      <c r="J41" s="14" t="s">
        <v>60</v>
      </c>
      <c r="K41" s="14" t="s">
        <v>45</v>
      </c>
      <c r="L41" s="14" t="s">
        <v>46</v>
      </c>
      <c r="M41" s="14" t="s">
        <v>47</v>
      </c>
      <c r="N41" s="14" t="s">
        <v>47</v>
      </c>
      <c r="O41" s="14" t="s">
        <v>204</v>
      </c>
      <c r="P41" s="14">
        <v>1.5</v>
      </c>
      <c r="Q41" s="16">
        <f t="shared" si="5"/>
        <v>13875</v>
      </c>
      <c r="R41" s="16">
        <v>13875.0</v>
      </c>
      <c r="S41" s="14">
        <v>1000.0</v>
      </c>
      <c r="T41" s="14">
        <v>10.0</v>
      </c>
      <c r="U41" s="14">
        <v>222.0</v>
      </c>
      <c r="V41" s="14">
        <f t="shared" si="6"/>
        <v>0.16</v>
      </c>
      <c r="W41" s="14">
        <v>8.0</v>
      </c>
      <c r="X41" s="14" t="s">
        <v>46</v>
      </c>
      <c r="Y41" s="16">
        <v>3885.0</v>
      </c>
      <c r="Z41" s="16">
        <v>7492.5</v>
      </c>
      <c r="AA41" s="16">
        <v>1526.25</v>
      </c>
      <c r="AB41" s="16">
        <v>0.0</v>
      </c>
      <c r="AC41" s="16">
        <v>0.0</v>
      </c>
      <c r="AD41" s="16">
        <v>971.25</v>
      </c>
      <c r="AE41" s="16">
        <v>0.0</v>
      </c>
      <c r="AF41" s="14">
        <v>6.0</v>
      </c>
      <c r="AG41" s="14" t="s">
        <v>163</v>
      </c>
      <c r="AH41" s="14" t="s">
        <v>163</v>
      </c>
      <c r="AI41" s="14">
        <v>50.0</v>
      </c>
      <c r="AJ41" s="14">
        <v>50.0</v>
      </c>
      <c r="AK41" s="8" t="s">
        <v>46</v>
      </c>
      <c r="AL41" s="9" t="s">
        <v>205</v>
      </c>
      <c r="AM41" s="9" t="s">
        <v>206</v>
      </c>
      <c r="AN41" s="9" t="s">
        <v>207</v>
      </c>
      <c r="AO41" s="9" t="s">
        <v>208</v>
      </c>
      <c r="AP41" s="11"/>
      <c r="AQ41" s="11"/>
      <c r="AR41" s="11"/>
      <c r="AS41" s="11"/>
      <c r="AT41" s="11"/>
      <c r="AU41" s="11"/>
      <c r="AV41" s="11"/>
      <c r="AW41" s="11"/>
      <c r="AX41" s="11"/>
      <c r="AY41" s="11"/>
      <c r="AZ41" s="11"/>
    </row>
    <row r="42" ht="15.75" customHeight="1">
      <c r="A42" s="12">
        <v>44755.0</v>
      </c>
      <c r="B42" s="13">
        <v>0.4583333333333333</v>
      </c>
      <c r="C42" s="14">
        <v>2.8</v>
      </c>
      <c r="D42" s="15" t="s">
        <v>102</v>
      </c>
      <c r="E42" s="15" t="s">
        <v>79</v>
      </c>
      <c r="F42" s="15" t="s">
        <v>199</v>
      </c>
      <c r="G42" s="15" t="s">
        <v>43</v>
      </c>
      <c r="H42" s="15" t="s">
        <v>43</v>
      </c>
      <c r="I42" s="15" t="s">
        <v>209</v>
      </c>
      <c r="J42" s="14" t="s">
        <v>52</v>
      </c>
      <c r="K42" s="14" t="s">
        <v>45</v>
      </c>
      <c r="L42" s="14" t="s">
        <v>46</v>
      </c>
      <c r="M42" s="14" t="s">
        <v>47</v>
      </c>
      <c r="N42" s="14" t="s">
        <v>47</v>
      </c>
      <c r="O42" s="14" t="s">
        <v>48</v>
      </c>
      <c r="P42" s="14">
        <v>1.5</v>
      </c>
      <c r="Q42" s="16">
        <v>3400.0</v>
      </c>
      <c r="R42" s="16">
        <v>3400.0</v>
      </c>
      <c r="S42" s="14" t="s">
        <v>46</v>
      </c>
      <c r="T42" s="14" t="s">
        <v>46</v>
      </c>
      <c r="U42" s="14" t="s">
        <v>46</v>
      </c>
      <c r="V42" s="14" t="s">
        <v>46</v>
      </c>
      <c r="W42" s="14" t="s">
        <v>128</v>
      </c>
      <c r="X42" s="14" t="s">
        <v>46</v>
      </c>
      <c r="Y42" s="16">
        <v>1224.0</v>
      </c>
      <c r="Z42" s="16">
        <v>1564.0</v>
      </c>
      <c r="AA42" s="16">
        <v>476.0</v>
      </c>
      <c r="AB42" s="16">
        <v>0.0</v>
      </c>
      <c r="AC42" s="16">
        <v>0.0</v>
      </c>
      <c r="AD42" s="16">
        <v>136.0</v>
      </c>
      <c r="AE42" s="16">
        <v>0.0</v>
      </c>
      <c r="AF42" s="14">
        <v>1.5</v>
      </c>
      <c r="AG42" s="14" t="s">
        <v>45</v>
      </c>
      <c r="AH42" s="14" t="s">
        <v>163</v>
      </c>
      <c r="AI42" s="14">
        <v>25.0</v>
      </c>
      <c r="AJ42" s="14">
        <v>10.0</v>
      </c>
      <c r="AK42" s="8" t="s">
        <v>46</v>
      </c>
      <c r="AL42" s="9" t="s">
        <v>210</v>
      </c>
      <c r="AM42" s="9"/>
      <c r="AN42" s="9" t="s">
        <v>211</v>
      </c>
      <c r="AO42" s="9" t="s">
        <v>212</v>
      </c>
      <c r="AP42" s="11"/>
      <c r="AQ42" s="11"/>
      <c r="AR42" s="11"/>
      <c r="AS42" s="11"/>
      <c r="AT42" s="11"/>
      <c r="AU42" s="11"/>
      <c r="AV42" s="11"/>
      <c r="AW42" s="11"/>
      <c r="AX42" s="11"/>
      <c r="AY42" s="11"/>
      <c r="AZ42" s="11"/>
    </row>
    <row r="43" ht="15.75" customHeight="1">
      <c r="A43" s="12">
        <v>44761.0</v>
      </c>
      <c r="B43" s="13">
        <v>0.4166666666666667</v>
      </c>
      <c r="C43" s="14">
        <v>7.0</v>
      </c>
      <c r="D43" s="15" t="s">
        <v>41</v>
      </c>
      <c r="E43" s="15" t="s">
        <v>114</v>
      </c>
      <c r="F43" s="15" t="s">
        <v>79</v>
      </c>
      <c r="G43" s="15" t="s">
        <v>43</v>
      </c>
      <c r="H43" s="15" t="s">
        <v>43</v>
      </c>
      <c r="I43" s="15" t="s">
        <v>213</v>
      </c>
      <c r="J43" s="14" t="s">
        <v>44</v>
      </c>
      <c r="K43" s="14" t="s">
        <v>45</v>
      </c>
      <c r="L43" s="14" t="s">
        <v>46</v>
      </c>
      <c r="M43" s="14" t="s">
        <v>47</v>
      </c>
      <c r="N43" s="14" t="s">
        <v>47</v>
      </c>
      <c r="O43" s="14" t="s">
        <v>48</v>
      </c>
      <c r="P43" s="14">
        <v>1.5</v>
      </c>
      <c r="Q43" s="16">
        <v>2600.0</v>
      </c>
      <c r="R43" s="16">
        <v>2600.0</v>
      </c>
      <c r="S43" s="14" t="s">
        <v>46</v>
      </c>
      <c r="T43" s="14" t="s">
        <v>46</v>
      </c>
      <c r="U43" s="14" t="s">
        <v>46</v>
      </c>
      <c r="V43" s="14" t="s">
        <v>46</v>
      </c>
      <c r="W43" s="14" t="s">
        <v>128</v>
      </c>
      <c r="X43" s="14" t="s">
        <v>46</v>
      </c>
      <c r="Y43" s="16">
        <v>1222.0</v>
      </c>
      <c r="Z43" s="16">
        <v>910.0</v>
      </c>
      <c r="AA43" s="16">
        <v>0.0</v>
      </c>
      <c r="AB43" s="16">
        <v>0.0</v>
      </c>
      <c r="AC43" s="16">
        <v>0.0</v>
      </c>
      <c r="AD43" s="16">
        <v>468.0</v>
      </c>
      <c r="AE43" s="16">
        <v>0.0</v>
      </c>
      <c r="AF43" s="14">
        <v>6.0</v>
      </c>
      <c r="AG43" s="14" t="s">
        <v>163</v>
      </c>
      <c r="AH43" s="14" t="s">
        <v>163</v>
      </c>
      <c r="AI43" s="14">
        <v>50.0</v>
      </c>
      <c r="AJ43" s="14">
        <v>50.0</v>
      </c>
      <c r="AK43" s="8" t="s">
        <v>46</v>
      </c>
      <c r="AL43" s="9"/>
      <c r="AM43" s="9"/>
      <c r="AN43" s="9"/>
      <c r="AO43" s="9" t="s">
        <v>214</v>
      </c>
      <c r="AP43" s="11"/>
      <c r="AQ43" s="11"/>
      <c r="AR43" s="11"/>
      <c r="AS43" s="11"/>
      <c r="AT43" s="11"/>
      <c r="AU43" s="11"/>
      <c r="AV43" s="11"/>
      <c r="AW43" s="11"/>
      <c r="AX43" s="11"/>
      <c r="AY43" s="11"/>
      <c r="AZ43" s="11"/>
    </row>
    <row r="44" ht="15.75" customHeight="1">
      <c r="A44" s="12">
        <v>44768.0</v>
      </c>
      <c r="B44" s="13">
        <v>0.4375</v>
      </c>
      <c r="C44" s="14">
        <v>3.2</v>
      </c>
      <c r="D44" s="15" t="s">
        <v>41</v>
      </c>
      <c r="E44" s="15" t="s">
        <v>42</v>
      </c>
      <c r="F44" s="15" t="s">
        <v>76</v>
      </c>
      <c r="G44" s="15" t="s">
        <v>43</v>
      </c>
      <c r="H44" s="15" t="s">
        <v>43</v>
      </c>
      <c r="I44" s="15" t="s">
        <v>215</v>
      </c>
      <c r="J44" s="14" t="s">
        <v>44</v>
      </c>
      <c r="K44" s="14" t="s">
        <v>45</v>
      </c>
      <c r="L44" s="14" t="s">
        <v>46</v>
      </c>
      <c r="M44" s="14" t="s">
        <v>47</v>
      </c>
      <c r="N44" s="14" t="s">
        <v>47</v>
      </c>
      <c r="O44" s="14" t="s">
        <v>48</v>
      </c>
      <c r="P44" s="14">
        <v>1.5</v>
      </c>
      <c r="Q44" s="16">
        <v>800.0</v>
      </c>
      <c r="R44" s="16">
        <v>800.0</v>
      </c>
      <c r="S44" s="14" t="s">
        <v>46</v>
      </c>
      <c r="T44" s="14" t="s">
        <v>46</v>
      </c>
      <c r="U44" s="14" t="s">
        <v>46</v>
      </c>
      <c r="V44" s="14" t="s">
        <v>46</v>
      </c>
      <c r="W44" s="14" t="s">
        <v>128</v>
      </c>
      <c r="X44" s="14" t="s">
        <v>46</v>
      </c>
      <c r="Y44" s="16">
        <v>120.0</v>
      </c>
      <c r="Z44" s="16">
        <v>680.0</v>
      </c>
      <c r="AA44" s="16">
        <v>0.0</v>
      </c>
      <c r="AB44" s="16">
        <v>0.0</v>
      </c>
      <c r="AC44" s="16">
        <v>0.0</v>
      </c>
      <c r="AD44" s="16">
        <v>0.0</v>
      </c>
      <c r="AE44" s="16">
        <v>0.0</v>
      </c>
      <c r="AF44" s="14">
        <v>6.0</v>
      </c>
      <c r="AG44" s="14" t="s">
        <v>163</v>
      </c>
      <c r="AH44" s="14" t="s">
        <v>163</v>
      </c>
      <c r="AI44" s="14">
        <v>50.0</v>
      </c>
      <c r="AJ44" s="14">
        <v>50.0</v>
      </c>
      <c r="AK44" s="8" t="s">
        <v>46</v>
      </c>
      <c r="AL44" s="19"/>
      <c r="AM44" s="19"/>
      <c r="AN44" s="9"/>
      <c r="AO44" s="9"/>
      <c r="AP44" s="11"/>
      <c r="AQ44" s="11"/>
      <c r="AR44" s="11"/>
      <c r="AS44" s="11"/>
      <c r="AT44" s="11"/>
      <c r="AU44" s="11"/>
      <c r="AV44" s="11"/>
      <c r="AW44" s="11"/>
      <c r="AX44" s="11"/>
      <c r="AY44" s="11"/>
      <c r="AZ44" s="11"/>
    </row>
    <row r="45" ht="15.75" customHeight="1">
      <c r="A45" s="12">
        <v>44775.0</v>
      </c>
      <c r="B45" s="13">
        <v>0.5416666666666666</v>
      </c>
      <c r="C45" s="14">
        <v>5.2</v>
      </c>
      <c r="D45" s="15" t="s">
        <v>41</v>
      </c>
      <c r="E45" s="15" t="s">
        <v>42</v>
      </c>
      <c r="F45" s="15" t="s">
        <v>76</v>
      </c>
      <c r="G45" s="15" t="s">
        <v>43</v>
      </c>
      <c r="H45" s="15" t="s">
        <v>43</v>
      </c>
      <c r="I45" s="15" t="s">
        <v>216</v>
      </c>
      <c r="J45" s="14" t="s">
        <v>52</v>
      </c>
      <c r="K45" s="14" t="s">
        <v>68</v>
      </c>
      <c r="L45" s="14" t="s">
        <v>217</v>
      </c>
      <c r="M45" s="14" t="s">
        <v>47</v>
      </c>
      <c r="N45" s="14" t="s">
        <v>47</v>
      </c>
      <c r="O45" s="14" t="s">
        <v>48</v>
      </c>
      <c r="P45" s="14">
        <v>1.5</v>
      </c>
      <c r="Q45" s="16">
        <f t="shared" ref="Q45:Q50" si="7">(((U45/W45*50)*10)/1000)*1000</f>
        <v>2250</v>
      </c>
      <c r="R45" s="16">
        <v>2250.0</v>
      </c>
      <c r="S45" s="14">
        <v>1000.0</v>
      </c>
      <c r="T45" s="14">
        <v>10.0</v>
      </c>
      <c r="U45" s="14">
        <v>36.0</v>
      </c>
      <c r="V45" s="14">
        <f t="shared" ref="V45:V50" si="8">W45/50</f>
        <v>0.16</v>
      </c>
      <c r="W45" s="14">
        <v>8.0</v>
      </c>
      <c r="X45" s="14" t="s">
        <v>46</v>
      </c>
      <c r="Y45" s="16">
        <v>562.5</v>
      </c>
      <c r="Z45" s="16">
        <v>1687.5</v>
      </c>
      <c r="AA45" s="16">
        <v>0.0</v>
      </c>
      <c r="AB45" s="16">
        <v>0.0</v>
      </c>
      <c r="AC45" s="16">
        <v>0.0</v>
      </c>
      <c r="AD45" s="16">
        <v>0.0</v>
      </c>
      <c r="AE45" s="16">
        <v>0.0</v>
      </c>
      <c r="AF45" s="14">
        <v>6.0</v>
      </c>
      <c r="AG45" s="14" t="s">
        <v>163</v>
      </c>
      <c r="AH45" s="14" t="s">
        <v>163</v>
      </c>
      <c r="AI45" s="17">
        <v>50.0</v>
      </c>
      <c r="AJ45" s="17">
        <v>30.0</v>
      </c>
      <c r="AK45" s="8" t="s">
        <v>46</v>
      </c>
      <c r="AL45" s="19" t="s">
        <v>218</v>
      </c>
      <c r="AM45" s="19" t="s">
        <v>219</v>
      </c>
      <c r="AN45" s="9" t="s">
        <v>220</v>
      </c>
      <c r="AO45" s="9" t="s">
        <v>221</v>
      </c>
      <c r="AP45" s="9"/>
      <c r="AQ45" s="9">
        <v>1197.0</v>
      </c>
      <c r="AR45" s="9" t="s">
        <v>222</v>
      </c>
      <c r="AS45" s="9">
        <v>5.0</v>
      </c>
      <c r="AT45" s="9" t="s">
        <v>223</v>
      </c>
      <c r="AU45" s="11"/>
      <c r="AV45" s="11"/>
      <c r="AW45" s="11"/>
      <c r="AX45" s="11"/>
      <c r="AY45" s="11"/>
      <c r="AZ45" s="11"/>
    </row>
    <row r="46" ht="15.75" customHeight="1">
      <c r="A46" s="12">
        <v>44782.0</v>
      </c>
      <c r="B46" s="13">
        <v>0.4583333333333333</v>
      </c>
      <c r="C46" s="14">
        <v>4.0</v>
      </c>
      <c r="D46" s="15" t="s">
        <v>41</v>
      </c>
      <c r="E46" s="15" t="s">
        <v>79</v>
      </c>
      <c r="F46" s="15" t="s">
        <v>76</v>
      </c>
      <c r="G46" s="15" t="s">
        <v>43</v>
      </c>
      <c r="H46" s="15" t="s">
        <v>43</v>
      </c>
      <c r="I46" s="15" t="s">
        <v>224</v>
      </c>
      <c r="J46" s="14" t="s">
        <v>60</v>
      </c>
      <c r="K46" s="14" t="s">
        <v>45</v>
      </c>
      <c r="L46" s="14" t="s">
        <v>46</v>
      </c>
      <c r="M46" s="14" t="s">
        <v>47</v>
      </c>
      <c r="N46" s="14" t="s">
        <v>47</v>
      </c>
      <c r="O46" s="14" t="s">
        <v>204</v>
      </c>
      <c r="P46" s="14">
        <v>1.5</v>
      </c>
      <c r="Q46" s="16">
        <f t="shared" si="7"/>
        <v>2500</v>
      </c>
      <c r="R46" s="16">
        <v>2500.0</v>
      </c>
      <c r="S46" s="14">
        <v>1000.0</v>
      </c>
      <c r="T46" s="14">
        <v>10.0</v>
      </c>
      <c r="U46" s="14">
        <v>40.0</v>
      </c>
      <c r="V46" s="14">
        <f t="shared" si="8"/>
        <v>0.16</v>
      </c>
      <c r="W46" s="14">
        <v>8.0</v>
      </c>
      <c r="X46" s="14" t="s">
        <v>46</v>
      </c>
      <c r="Y46" s="16">
        <v>900.0</v>
      </c>
      <c r="Z46" s="16">
        <v>1325.0</v>
      </c>
      <c r="AA46" s="16">
        <v>137.5</v>
      </c>
      <c r="AB46" s="16">
        <v>0.0</v>
      </c>
      <c r="AC46" s="16">
        <v>0.0</v>
      </c>
      <c r="AD46" s="16">
        <v>137.5</v>
      </c>
      <c r="AE46" s="16">
        <v>0.0</v>
      </c>
      <c r="AF46" s="14">
        <v>6.0</v>
      </c>
      <c r="AG46" s="14" t="s">
        <v>163</v>
      </c>
      <c r="AH46" s="14" t="s">
        <v>163</v>
      </c>
      <c r="AI46" s="14">
        <v>50.0</v>
      </c>
      <c r="AJ46" s="14">
        <v>25.0</v>
      </c>
      <c r="AK46" s="8" t="s">
        <v>46</v>
      </c>
      <c r="AL46" s="9"/>
      <c r="AM46" s="9" t="s">
        <v>225</v>
      </c>
      <c r="AN46" s="9" t="s">
        <v>226</v>
      </c>
      <c r="AO46" s="9"/>
      <c r="AP46" s="9"/>
      <c r="AQ46" s="9">
        <v>242.0</v>
      </c>
      <c r="AR46" s="9" t="s">
        <v>227</v>
      </c>
      <c r="AS46" s="21">
        <f>(AS45*AQ45)/AQ47</f>
        <v>4.15913829</v>
      </c>
      <c r="AT46" s="9" t="s">
        <v>228</v>
      </c>
      <c r="AU46" s="11"/>
      <c r="AV46" s="11"/>
      <c r="AW46" s="11"/>
      <c r="AX46" s="11"/>
      <c r="AY46" s="11"/>
      <c r="AZ46" s="11"/>
    </row>
    <row r="47" ht="15.75" customHeight="1">
      <c r="A47" s="12">
        <v>44789.0</v>
      </c>
      <c r="B47" s="13">
        <v>0.4583333333333333</v>
      </c>
      <c r="C47" s="14">
        <v>7.0</v>
      </c>
      <c r="D47" s="15" t="s">
        <v>41</v>
      </c>
      <c r="E47" s="15" t="s">
        <v>66</v>
      </c>
      <c r="F47" s="15" t="s">
        <v>79</v>
      </c>
      <c r="G47" s="15" t="s">
        <v>43</v>
      </c>
      <c r="H47" s="15" t="s">
        <v>43</v>
      </c>
      <c r="I47" s="15" t="s">
        <v>42</v>
      </c>
      <c r="J47" s="14" t="s">
        <v>60</v>
      </c>
      <c r="K47" s="14" t="s">
        <v>45</v>
      </c>
      <c r="L47" s="14" t="s">
        <v>46</v>
      </c>
      <c r="M47" s="14" t="s">
        <v>47</v>
      </c>
      <c r="N47" s="14" t="s">
        <v>47</v>
      </c>
      <c r="O47" s="14" t="s">
        <v>48</v>
      </c>
      <c r="P47" s="14">
        <v>1.5</v>
      </c>
      <c r="Q47" s="16">
        <f t="shared" si="7"/>
        <v>600</v>
      </c>
      <c r="R47" s="16">
        <v>600.0</v>
      </c>
      <c r="S47" s="14">
        <v>1000.0</v>
      </c>
      <c r="T47" s="14">
        <v>10.0</v>
      </c>
      <c r="U47" s="14">
        <v>12.0</v>
      </c>
      <c r="V47" s="14">
        <f t="shared" si="8"/>
        <v>0.2</v>
      </c>
      <c r="W47" s="14">
        <v>10.0</v>
      </c>
      <c r="X47" s="14" t="s">
        <v>46</v>
      </c>
      <c r="Y47" s="16">
        <v>288.0</v>
      </c>
      <c r="Z47" s="16">
        <v>258.0</v>
      </c>
      <c r="AA47" s="16">
        <v>27.0</v>
      </c>
      <c r="AB47" s="16">
        <v>0.0</v>
      </c>
      <c r="AC47" s="16">
        <v>0.0</v>
      </c>
      <c r="AD47" s="16">
        <v>27.0</v>
      </c>
      <c r="AE47" s="16">
        <v>0.0</v>
      </c>
      <c r="AF47" s="14">
        <v>6.0</v>
      </c>
      <c r="AG47" s="14" t="s">
        <v>163</v>
      </c>
      <c r="AH47" s="14" t="s">
        <v>163</v>
      </c>
      <c r="AI47" s="14">
        <v>50.0</v>
      </c>
      <c r="AJ47" s="14">
        <v>50.0</v>
      </c>
      <c r="AK47" s="8" t="s">
        <v>46</v>
      </c>
      <c r="AL47" s="9" t="s">
        <v>229</v>
      </c>
      <c r="AM47" s="9" t="s">
        <v>47</v>
      </c>
      <c r="AN47" s="9" t="s">
        <v>230</v>
      </c>
      <c r="AO47" s="9" t="s">
        <v>231</v>
      </c>
      <c r="AP47" s="11"/>
      <c r="AQ47" s="9">
        <v>1439.0</v>
      </c>
      <c r="AR47" s="9" t="s">
        <v>232</v>
      </c>
      <c r="AS47" s="9">
        <v>1968.0</v>
      </c>
      <c r="AT47" s="9" t="s">
        <v>233</v>
      </c>
      <c r="AU47" s="11"/>
      <c r="AV47" s="11"/>
      <c r="AW47" s="11"/>
      <c r="AX47" s="11"/>
      <c r="AY47" s="11"/>
      <c r="AZ47" s="11"/>
    </row>
    <row r="48" ht="15.75" customHeight="1">
      <c r="A48" s="12">
        <v>44797.0</v>
      </c>
      <c r="B48" s="13">
        <v>0.4583333333333333</v>
      </c>
      <c r="C48" s="14">
        <v>3.8</v>
      </c>
      <c r="D48" s="15" t="s">
        <v>41</v>
      </c>
      <c r="E48" s="15" t="s">
        <v>66</v>
      </c>
      <c r="F48" s="15" t="s">
        <v>234</v>
      </c>
      <c r="G48" s="15" t="s">
        <v>43</v>
      </c>
      <c r="H48" s="15" t="s">
        <v>43</v>
      </c>
      <c r="I48" s="15" t="s">
        <v>42</v>
      </c>
      <c r="J48" s="14" t="s">
        <v>44</v>
      </c>
      <c r="K48" s="14" t="s">
        <v>45</v>
      </c>
      <c r="L48" s="14" t="s">
        <v>46</v>
      </c>
      <c r="M48" s="14" t="s">
        <v>47</v>
      </c>
      <c r="N48" s="14" t="s">
        <v>47</v>
      </c>
      <c r="O48" s="14" t="s">
        <v>48</v>
      </c>
      <c r="P48" s="14">
        <v>1.5</v>
      </c>
      <c r="Q48" s="16">
        <f t="shared" si="7"/>
        <v>800</v>
      </c>
      <c r="R48" s="16">
        <v>736.0</v>
      </c>
      <c r="S48" s="14">
        <v>1000.0</v>
      </c>
      <c r="T48" s="14">
        <v>10.0</v>
      </c>
      <c r="U48" s="14">
        <v>16.0</v>
      </c>
      <c r="V48" s="14">
        <f t="shared" si="8"/>
        <v>0.2</v>
      </c>
      <c r="W48" s="14">
        <v>10.0</v>
      </c>
      <c r="X48" s="14" t="s">
        <v>46</v>
      </c>
      <c r="Y48" s="16">
        <v>200.0</v>
      </c>
      <c r="Z48" s="16">
        <v>536.0</v>
      </c>
      <c r="AA48" s="16">
        <v>0.0</v>
      </c>
      <c r="AB48" s="16">
        <v>0.0</v>
      </c>
      <c r="AC48" s="16">
        <v>64.0</v>
      </c>
      <c r="AD48" s="16">
        <v>0.0</v>
      </c>
      <c r="AE48" s="16">
        <v>0.0</v>
      </c>
      <c r="AF48" s="14">
        <v>6.0</v>
      </c>
      <c r="AG48" s="14" t="s">
        <v>163</v>
      </c>
      <c r="AH48" s="14" t="s">
        <v>163</v>
      </c>
      <c r="AI48" s="14">
        <v>50.0</v>
      </c>
      <c r="AJ48" s="14">
        <v>50.0</v>
      </c>
      <c r="AK48" s="8" t="s">
        <v>46</v>
      </c>
      <c r="AL48" s="9" t="s">
        <v>229</v>
      </c>
      <c r="AM48" s="9" t="s">
        <v>89</v>
      </c>
      <c r="AN48" s="9" t="s">
        <v>235</v>
      </c>
      <c r="AO48" s="9" t="s">
        <v>170</v>
      </c>
      <c r="AP48" s="11"/>
      <c r="AQ48" s="11"/>
      <c r="AR48" s="11"/>
      <c r="AS48" s="22">
        <f>AS47/AS46</f>
        <v>473.1749373</v>
      </c>
      <c r="AT48" s="9" t="s">
        <v>236</v>
      </c>
      <c r="AU48" s="11"/>
      <c r="AV48" s="11"/>
      <c r="AW48" s="11"/>
      <c r="AX48" s="11"/>
      <c r="AY48" s="11"/>
      <c r="AZ48" s="11"/>
    </row>
    <row r="49" ht="15.75" customHeight="1">
      <c r="A49" s="12">
        <v>44804.0</v>
      </c>
      <c r="B49" s="13">
        <v>0.4479166666666667</v>
      </c>
      <c r="C49" s="14">
        <v>7.0</v>
      </c>
      <c r="D49" s="15" t="s">
        <v>41</v>
      </c>
      <c r="E49" s="15" t="s">
        <v>72</v>
      </c>
      <c r="F49" s="15" t="s">
        <v>42</v>
      </c>
      <c r="G49" s="15" t="s">
        <v>43</v>
      </c>
      <c r="H49" s="15" t="s">
        <v>43</v>
      </c>
      <c r="I49" s="15" t="s">
        <v>200</v>
      </c>
      <c r="J49" s="14" t="s">
        <v>60</v>
      </c>
      <c r="K49" s="14" t="s">
        <v>45</v>
      </c>
      <c r="L49" s="14" t="s">
        <v>46</v>
      </c>
      <c r="M49" s="14" t="s">
        <v>47</v>
      </c>
      <c r="N49" s="14" t="s">
        <v>47</v>
      </c>
      <c r="O49" s="14" t="s">
        <v>48</v>
      </c>
      <c r="P49" s="14">
        <v>1.5</v>
      </c>
      <c r="Q49" s="16">
        <f t="shared" si="7"/>
        <v>2650</v>
      </c>
      <c r="R49" s="16">
        <v>2491.0</v>
      </c>
      <c r="S49" s="14">
        <v>1000.0</v>
      </c>
      <c r="T49" s="14">
        <v>10.0</v>
      </c>
      <c r="U49" s="14">
        <v>53.0</v>
      </c>
      <c r="V49" s="14">
        <f t="shared" si="8"/>
        <v>0.2</v>
      </c>
      <c r="W49" s="14">
        <v>10.0</v>
      </c>
      <c r="X49" s="14" t="s">
        <v>46</v>
      </c>
      <c r="Y49" s="16">
        <v>821.5</v>
      </c>
      <c r="Z49" s="16">
        <v>503.5</v>
      </c>
      <c r="AA49" s="16">
        <v>1166.0</v>
      </c>
      <c r="AB49" s="16">
        <v>0.0</v>
      </c>
      <c r="AC49" s="16">
        <v>159.0</v>
      </c>
      <c r="AD49" s="16">
        <v>0.0</v>
      </c>
      <c r="AE49" s="16">
        <v>0.0</v>
      </c>
      <c r="AF49" s="14">
        <v>6.0</v>
      </c>
      <c r="AG49" s="14" t="s">
        <v>163</v>
      </c>
      <c r="AH49" s="14" t="s">
        <v>163</v>
      </c>
      <c r="AI49" s="14">
        <v>50.0</v>
      </c>
      <c r="AJ49" s="14">
        <v>50.0</v>
      </c>
      <c r="AK49" s="8" t="s">
        <v>46</v>
      </c>
      <c r="AL49" s="9" t="s">
        <v>237</v>
      </c>
      <c r="AM49" s="9" t="s">
        <v>189</v>
      </c>
      <c r="AN49" s="9" t="s">
        <v>238</v>
      </c>
      <c r="AO49" s="9" t="s">
        <v>239</v>
      </c>
      <c r="AP49" s="11"/>
      <c r="AQ49" s="11"/>
      <c r="AR49" s="11"/>
      <c r="AS49" s="11"/>
      <c r="AT49" s="11"/>
      <c r="AU49" s="11"/>
      <c r="AV49" s="11"/>
      <c r="AW49" s="11"/>
      <c r="AX49" s="11"/>
      <c r="AY49" s="11"/>
      <c r="AZ49" s="11"/>
    </row>
    <row r="50" ht="15.75" customHeight="1">
      <c r="A50" s="12">
        <v>44811.0</v>
      </c>
      <c r="B50" s="13">
        <v>0.4583333333333333</v>
      </c>
      <c r="C50" s="14">
        <v>3.6</v>
      </c>
      <c r="D50" s="15" t="s">
        <v>41</v>
      </c>
      <c r="E50" s="15" t="s">
        <v>66</v>
      </c>
      <c r="F50" s="15" t="s">
        <v>42</v>
      </c>
      <c r="G50" s="15" t="s">
        <v>43</v>
      </c>
      <c r="H50" s="15" t="s">
        <v>43</v>
      </c>
      <c r="I50" s="15" t="s">
        <v>156</v>
      </c>
      <c r="J50" s="14" t="s">
        <v>60</v>
      </c>
      <c r="K50" s="14" t="s">
        <v>45</v>
      </c>
      <c r="L50" s="14" t="s">
        <v>46</v>
      </c>
      <c r="M50" s="14" t="s">
        <v>47</v>
      </c>
      <c r="N50" s="14" t="s">
        <v>47</v>
      </c>
      <c r="O50" s="14" t="s">
        <v>48</v>
      </c>
      <c r="P50" s="14">
        <v>1.5</v>
      </c>
      <c r="Q50" s="16">
        <f t="shared" si="7"/>
        <v>1300</v>
      </c>
      <c r="R50" s="16">
        <v>1300.0</v>
      </c>
      <c r="S50" s="14">
        <v>1000.0</v>
      </c>
      <c r="T50" s="14">
        <v>10.0</v>
      </c>
      <c r="U50" s="14">
        <v>26.0</v>
      </c>
      <c r="V50" s="14">
        <f t="shared" si="8"/>
        <v>0.2</v>
      </c>
      <c r="W50" s="14">
        <v>10.0</v>
      </c>
      <c r="X50" s="14" t="s">
        <v>46</v>
      </c>
      <c r="Y50" s="16">
        <v>195.0</v>
      </c>
      <c r="Z50" s="16">
        <v>975.0</v>
      </c>
      <c r="AA50" s="16">
        <v>78.0</v>
      </c>
      <c r="AB50" s="16">
        <v>0.0</v>
      </c>
      <c r="AC50" s="16">
        <v>0.0</v>
      </c>
      <c r="AD50" s="16">
        <v>52.0</v>
      </c>
      <c r="AE50" s="16">
        <v>0.0</v>
      </c>
      <c r="AF50" s="14">
        <v>6.0</v>
      </c>
      <c r="AG50" s="14" t="s">
        <v>163</v>
      </c>
      <c r="AH50" s="14" t="s">
        <v>163</v>
      </c>
      <c r="AI50" s="14">
        <v>50.0</v>
      </c>
      <c r="AJ50" s="14">
        <v>50.0</v>
      </c>
      <c r="AK50" s="8" t="s">
        <v>46</v>
      </c>
      <c r="AL50" s="9" t="s">
        <v>47</v>
      </c>
      <c r="AM50" s="9" t="s">
        <v>240</v>
      </c>
      <c r="AN50" s="9" t="s">
        <v>241</v>
      </c>
      <c r="AO50" s="9" t="s">
        <v>242</v>
      </c>
      <c r="AP50" s="11"/>
      <c r="AQ50" s="11"/>
      <c r="AR50" s="9"/>
      <c r="AS50" s="9"/>
      <c r="AT50" s="11"/>
      <c r="AU50" s="11"/>
      <c r="AV50" s="11"/>
      <c r="AW50" s="11"/>
      <c r="AX50" s="11"/>
      <c r="AY50" s="11"/>
      <c r="AZ50" s="11"/>
    </row>
    <row r="51" ht="15.75" customHeight="1">
      <c r="A51" s="12">
        <v>44817.0</v>
      </c>
      <c r="B51" s="13">
        <v>0.4791666666666667</v>
      </c>
      <c r="C51" s="14">
        <v>5.5</v>
      </c>
      <c r="D51" s="15" t="s">
        <v>41</v>
      </c>
      <c r="E51" s="15" t="s">
        <v>43</v>
      </c>
      <c r="F51" s="15" t="s">
        <v>43</v>
      </c>
      <c r="G51" s="15" t="s">
        <v>43</v>
      </c>
      <c r="H51" s="15" t="s">
        <v>43</v>
      </c>
      <c r="I51" s="15" t="s">
        <v>47</v>
      </c>
      <c r="J51" s="14" t="s">
        <v>46</v>
      </c>
      <c r="K51" s="14" t="s">
        <v>45</v>
      </c>
      <c r="L51" s="14" t="s">
        <v>46</v>
      </c>
      <c r="M51" s="14" t="s">
        <v>47</v>
      </c>
      <c r="N51" s="14" t="s">
        <v>47</v>
      </c>
      <c r="O51" s="14" t="s">
        <v>193</v>
      </c>
      <c r="P51" s="14">
        <v>1.5</v>
      </c>
      <c r="Q51" s="16">
        <v>1600.0</v>
      </c>
      <c r="R51" s="16">
        <v>1536.0</v>
      </c>
      <c r="S51" s="14" t="s">
        <v>46</v>
      </c>
      <c r="T51" s="14" t="s">
        <v>46</v>
      </c>
      <c r="U51" s="14" t="s">
        <v>46</v>
      </c>
      <c r="V51" s="14" t="s">
        <v>46</v>
      </c>
      <c r="W51" s="14" t="s">
        <v>46</v>
      </c>
      <c r="X51" s="14" t="s">
        <v>46</v>
      </c>
      <c r="Y51" s="16">
        <v>64.0</v>
      </c>
      <c r="Z51" s="16">
        <v>1232.0</v>
      </c>
      <c r="AA51" s="16">
        <v>0.0</v>
      </c>
      <c r="AB51" s="16">
        <v>0.0</v>
      </c>
      <c r="AC51" s="16">
        <v>64.0</v>
      </c>
      <c r="AD51" s="16">
        <v>240.0</v>
      </c>
      <c r="AE51" s="16">
        <v>0.0</v>
      </c>
      <c r="AF51" s="14">
        <v>6.0</v>
      </c>
      <c r="AG51" s="14" t="s">
        <v>163</v>
      </c>
      <c r="AH51" s="14" t="s">
        <v>163</v>
      </c>
      <c r="AI51" s="14">
        <v>50.0</v>
      </c>
      <c r="AJ51" s="14">
        <v>50.0</v>
      </c>
      <c r="AK51" s="8" t="s">
        <v>46</v>
      </c>
      <c r="AL51" s="9"/>
      <c r="AM51" s="9"/>
      <c r="AN51" s="9"/>
      <c r="AO51" s="9" t="s">
        <v>243</v>
      </c>
      <c r="AP51" s="11"/>
      <c r="AQ51" s="11"/>
      <c r="AR51" s="11"/>
      <c r="AS51" s="11"/>
      <c r="AT51" s="9"/>
      <c r="AU51" s="11"/>
      <c r="AV51" s="11"/>
      <c r="AW51" s="11"/>
      <c r="AX51" s="11"/>
      <c r="AY51" s="11"/>
      <c r="AZ51" s="11"/>
    </row>
    <row r="52" ht="15.75" customHeight="1">
      <c r="A52" s="12">
        <v>44832.0</v>
      </c>
      <c r="B52" s="13">
        <v>0.4270833333333333</v>
      </c>
      <c r="C52" s="14">
        <v>7.0</v>
      </c>
      <c r="D52" s="15" t="s">
        <v>41</v>
      </c>
      <c r="E52" s="15" t="s">
        <v>42</v>
      </c>
      <c r="F52" s="15" t="s">
        <v>76</v>
      </c>
      <c r="G52" s="15" t="s">
        <v>43</v>
      </c>
      <c r="H52" s="15" t="s">
        <v>43</v>
      </c>
      <c r="I52" s="15" t="s">
        <v>79</v>
      </c>
      <c r="J52" s="14" t="s">
        <v>60</v>
      </c>
      <c r="K52" s="14" t="s">
        <v>45</v>
      </c>
      <c r="L52" s="14" t="s">
        <v>46</v>
      </c>
      <c r="M52" s="14" t="s">
        <v>47</v>
      </c>
      <c r="N52" s="14" t="s">
        <v>47</v>
      </c>
      <c r="O52" s="14" t="s">
        <v>193</v>
      </c>
      <c r="P52" s="14">
        <v>1.5</v>
      </c>
      <c r="Q52" s="16" t="s">
        <v>46</v>
      </c>
      <c r="R52" s="16" t="s">
        <v>46</v>
      </c>
      <c r="S52" s="14" t="s">
        <v>46</v>
      </c>
      <c r="T52" s="14" t="s">
        <v>46</v>
      </c>
      <c r="U52" s="14" t="s">
        <v>46</v>
      </c>
      <c r="V52" s="14" t="s">
        <v>46</v>
      </c>
      <c r="W52" s="14" t="s">
        <v>46</v>
      </c>
      <c r="X52" s="14" t="s">
        <v>46</v>
      </c>
      <c r="Y52" s="16" t="s">
        <v>46</v>
      </c>
      <c r="Z52" s="16" t="s">
        <v>46</v>
      </c>
      <c r="AA52" s="16" t="s">
        <v>46</v>
      </c>
      <c r="AB52" s="16" t="s">
        <v>46</v>
      </c>
      <c r="AC52" s="16" t="s">
        <v>46</v>
      </c>
      <c r="AD52" s="16" t="s">
        <v>46</v>
      </c>
      <c r="AE52" s="16" t="s">
        <v>46</v>
      </c>
      <c r="AF52" s="14">
        <v>6.0</v>
      </c>
      <c r="AG52" s="14" t="s">
        <v>163</v>
      </c>
      <c r="AH52" s="14" t="s">
        <v>163</v>
      </c>
      <c r="AI52" s="14">
        <v>50.0</v>
      </c>
      <c r="AJ52" s="14">
        <v>50.0</v>
      </c>
      <c r="AK52" s="8" t="s">
        <v>46</v>
      </c>
      <c r="AL52" s="9"/>
      <c r="AM52" s="9"/>
      <c r="AN52" s="9"/>
      <c r="AO52" s="9" t="s">
        <v>244</v>
      </c>
      <c r="AP52" s="11"/>
      <c r="AQ52" s="11"/>
      <c r="AR52" s="11"/>
      <c r="AS52" s="11"/>
      <c r="AT52" s="11"/>
      <c r="AU52" s="11"/>
      <c r="AV52" s="11"/>
      <c r="AW52" s="11"/>
      <c r="AX52" s="11"/>
      <c r="AY52" s="11"/>
      <c r="AZ52" s="11"/>
    </row>
    <row r="53" ht="15.75" customHeight="1">
      <c r="A53" s="12">
        <v>45009.0</v>
      </c>
      <c r="B53" s="13">
        <v>0.4270833333333333</v>
      </c>
      <c r="C53" s="14">
        <v>7.0</v>
      </c>
      <c r="D53" s="15" t="s">
        <v>42</v>
      </c>
      <c r="E53" s="15" t="s">
        <v>171</v>
      </c>
      <c r="F53" s="15" t="s">
        <v>49</v>
      </c>
      <c r="G53" s="15" t="s">
        <v>43</v>
      </c>
      <c r="H53" s="15" t="s">
        <v>43</v>
      </c>
      <c r="I53" s="15" t="s">
        <v>245</v>
      </c>
      <c r="J53" s="14" t="s">
        <v>44</v>
      </c>
      <c r="K53" s="14" t="s">
        <v>68</v>
      </c>
      <c r="L53" s="14" t="s">
        <v>246</v>
      </c>
      <c r="M53" s="14" t="s">
        <v>47</v>
      </c>
      <c r="N53" s="14" t="s">
        <v>47</v>
      </c>
      <c r="O53" s="14" t="s">
        <v>204</v>
      </c>
      <c r="P53" s="14">
        <v>1.5</v>
      </c>
      <c r="Q53" s="16">
        <f t="shared" ref="Q53:Q71" si="9">(((U53/W53*50)*10)/1000)*1000</f>
        <v>0</v>
      </c>
      <c r="R53" s="16">
        <v>0.0</v>
      </c>
      <c r="S53" s="14">
        <v>1000.0</v>
      </c>
      <c r="T53" s="14">
        <v>10.0</v>
      </c>
      <c r="U53" s="14">
        <v>0.0</v>
      </c>
      <c r="V53" s="14">
        <f t="shared" ref="V53:V71" si="10">W53/50</f>
        <v>0.12</v>
      </c>
      <c r="W53" s="14">
        <v>6.0</v>
      </c>
      <c r="X53" s="14" t="s">
        <v>46</v>
      </c>
      <c r="Y53" s="16">
        <v>0.0</v>
      </c>
      <c r="Z53" s="16">
        <v>0.0</v>
      </c>
      <c r="AA53" s="16">
        <v>0.0</v>
      </c>
      <c r="AB53" s="16">
        <v>0.0</v>
      </c>
      <c r="AC53" s="16">
        <v>0.0</v>
      </c>
      <c r="AD53" s="16">
        <v>0.0</v>
      </c>
      <c r="AE53" s="16">
        <v>0.0</v>
      </c>
      <c r="AF53" s="14">
        <v>4.0</v>
      </c>
      <c r="AG53" s="14" t="s">
        <v>163</v>
      </c>
      <c r="AH53" s="14" t="s">
        <v>163</v>
      </c>
      <c r="AI53" s="14">
        <v>50.0</v>
      </c>
      <c r="AJ53" s="14">
        <v>50.0</v>
      </c>
      <c r="AK53" s="8" t="s">
        <v>46</v>
      </c>
      <c r="AL53" s="9" t="s">
        <v>247</v>
      </c>
      <c r="AM53" s="9"/>
      <c r="AN53" s="9" t="s">
        <v>248</v>
      </c>
      <c r="AO53" s="9" t="s">
        <v>249</v>
      </c>
      <c r="AP53" s="11"/>
      <c r="AQ53" s="11"/>
      <c r="AR53" s="11"/>
      <c r="AS53" s="11"/>
      <c r="AT53" s="11"/>
      <c r="AU53" s="11"/>
      <c r="AV53" s="11"/>
      <c r="AW53" s="11"/>
      <c r="AX53" s="11"/>
      <c r="AY53" s="11"/>
      <c r="AZ53" s="11"/>
    </row>
    <row r="54" ht="15.75" customHeight="1">
      <c r="A54" s="12">
        <v>45016.0</v>
      </c>
      <c r="B54" s="13">
        <v>0.4930555555555556</v>
      </c>
      <c r="C54" s="14">
        <v>6.6</v>
      </c>
      <c r="D54" s="15" t="s">
        <v>42</v>
      </c>
      <c r="E54" s="15" t="s">
        <v>250</v>
      </c>
      <c r="F54" s="15" t="s">
        <v>66</v>
      </c>
      <c r="G54" s="15" t="s">
        <v>43</v>
      </c>
      <c r="H54" s="15" t="s">
        <v>43</v>
      </c>
      <c r="I54" s="15" t="s">
        <v>251</v>
      </c>
      <c r="J54" s="14" t="s">
        <v>52</v>
      </c>
      <c r="K54" s="14" t="s">
        <v>68</v>
      </c>
      <c r="L54" s="14" t="s">
        <v>252</v>
      </c>
      <c r="M54" s="14" t="s">
        <v>253</v>
      </c>
      <c r="N54" s="14" t="s">
        <v>47</v>
      </c>
      <c r="O54" s="14" t="s">
        <v>127</v>
      </c>
      <c r="P54" s="14">
        <v>1.5</v>
      </c>
      <c r="Q54" s="16">
        <f t="shared" si="9"/>
        <v>0</v>
      </c>
      <c r="R54" s="16">
        <v>0.0</v>
      </c>
      <c r="S54" s="14">
        <v>1000.0</v>
      </c>
      <c r="T54" s="14">
        <v>10.0</v>
      </c>
      <c r="U54" s="14">
        <v>0.0</v>
      </c>
      <c r="V54" s="14">
        <f t="shared" si="10"/>
        <v>0.16</v>
      </c>
      <c r="W54" s="14">
        <v>8.0</v>
      </c>
      <c r="X54" s="14" t="s">
        <v>46</v>
      </c>
      <c r="Y54" s="16">
        <v>0.0</v>
      </c>
      <c r="Z54" s="16">
        <v>0.0</v>
      </c>
      <c r="AA54" s="16">
        <v>0.0</v>
      </c>
      <c r="AB54" s="16">
        <v>0.0</v>
      </c>
      <c r="AC54" s="16">
        <v>0.0</v>
      </c>
      <c r="AD54" s="16">
        <v>0.0</v>
      </c>
      <c r="AE54" s="16">
        <v>0.0</v>
      </c>
      <c r="AF54" s="14">
        <v>6.0</v>
      </c>
      <c r="AG54" s="14" t="s">
        <v>163</v>
      </c>
      <c r="AH54" s="14" t="s">
        <v>163</v>
      </c>
      <c r="AI54" s="14">
        <v>50.0</v>
      </c>
      <c r="AJ54" s="14">
        <v>50.0</v>
      </c>
      <c r="AK54" s="8" t="s">
        <v>46</v>
      </c>
      <c r="AL54" s="9" t="s">
        <v>254</v>
      </c>
      <c r="AM54" s="9" t="s">
        <v>124</v>
      </c>
      <c r="AN54" s="9" t="s">
        <v>255</v>
      </c>
      <c r="AO54" s="9" t="s">
        <v>249</v>
      </c>
      <c r="AP54" s="11"/>
      <c r="AQ54" s="11"/>
      <c r="AR54" s="11"/>
      <c r="AS54" s="11"/>
      <c r="AT54" s="11"/>
      <c r="AU54" s="11"/>
      <c r="AV54" s="11"/>
      <c r="AW54" s="11"/>
      <c r="AX54" s="11"/>
      <c r="AY54" s="11"/>
      <c r="AZ54" s="11"/>
    </row>
    <row r="55" ht="15.75" customHeight="1">
      <c r="A55" s="12">
        <v>45036.0</v>
      </c>
      <c r="B55" s="13">
        <v>0.5520833333333334</v>
      </c>
      <c r="C55" s="14">
        <v>3.8</v>
      </c>
      <c r="D55" s="15" t="s">
        <v>42</v>
      </c>
      <c r="E55" s="15" t="s">
        <v>256</v>
      </c>
      <c r="F55" s="15" t="s">
        <v>257</v>
      </c>
      <c r="G55" s="15" t="s">
        <v>43</v>
      </c>
      <c r="H55" s="15" t="s">
        <v>43</v>
      </c>
      <c r="I55" s="15" t="s">
        <v>258</v>
      </c>
      <c r="J55" s="14" t="s">
        <v>44</v>
      </c>
      <c r="K55" s="14" t="s">
        <v>68</v>
      </c>
      <c r="L55" s="14" t="s">
        <v>259</v>
      </c>
      <c r="M55" s="14" t="s">
        <v>47</v>
      </c>
      <c r="N55" s="14" t="s">
        <v>47</v>
      </c>
      <c r="O55" s="14" t="s">
        <v>127</v>
      </c>
      <c r="P55" s="14">
        <v>1.5</v>
      </c>
      <c r="Q55" s="16">
        <f t="shared" si="9"/>
        <v>0</v>
      </c>
      <c r="R55" s="16">
        <v>0.0</v>
      </c>
      <c r="S55" s="14">
        <v>1000.0</v>
      </c>
      <c r="T55" s="14">
        <v>10.0</v>
      </c>
      <c r="U55" s="14">
        <v>0.0</v>
      </c>
      <c r="V55" s="14">
        <f t="shared" si="10"/>
        <v>0.12</v>
      </c>
      <c r="W55" s="14">
        <v>6.0</v>
      </c>
      <c r="X55" s="14" t="s">
        <v>46</v>
      </c>
      <c r="Y55" s="16">
        <v>0.0</v>
      </c>
      <c r="Z55" s="16">
        <v>0.0</v>
      </c>
      <c r="AA55" s="16">
        <v>0.0</v>
      </c>
      <c r="AB55" s="16">
        <v>0.0</v>
      </c>
      <c r="AC55" s="16">
        <v>0.0</v>
      </c>
      <c r="AD55" s="16">
        <v>0.0</v>
      </c>
      <c r="AE55" s="16">
        <v>0.0</v>
      </c>
      <c r="AF55" s="14">
        <v>4.0</v>
      </c>
      <c r="AG55" s="14" t="s">
        <v>163</v>
      </c>
      <c r="AH55" s="14" t="s">
        <v>163</v>
      </c>
      <c r="AI55" s="14">
        <v>50.0</v>
      </c>
      <c r="AJ55" s="14">
        <v>50.0</v>
      </c>
      <c r="AK55" s="8" t="s">
        <v>46</v>
      </c>
      <c r="AL55" s="9" t="s">
        <v>55</v>
      </c>
      <c r="AM55" s="9" t="s">
        <v>47</v>
      </c>
      <c r="AN55" s="9" t="s">
        <v>260</v>
      </c>
      <c r="AO55" s="9" t="s">
        <v>261</v>
      </c>
      <c r="AP55" s="11"/>
      <c r="AQ55" s="11"/>
      <c r="AR55" s="11"/>
      <c r="AS55" s="11"/>
      <c r="AT55" s="11"/>
      <c r="AU55" s="11"/>
      <c r="AV55" s="11"/>
      <c r="AW55" s="11"/>
      <c r="AX55" s="11"/>
      <c r="AY55" s="11"/>
      <c r="AZ55" s="11"/>
    </row>
    <row r="56" ht="15.75" customHeight="1">
      <c r="A56" s="12">
        <v>45047.0</v>
      </c>
      <c r="B56" s="13">
        <v>0.6770833333333334</v>
      </c>
      <c r="C56" s="14">
        <v>7.4</v>
      </c>
      <c r="D56" s="15" t="s">
        <v>42</v>
      </c>
      <c r="E56" s="15" t="s">
        <v>171</v>
      </c>
      <c r="F56" s="15" t="s">
        <v>49</v>
      </c>
      <c r="G56" s="15" t="s">
        <v>43</v>
      </c>
      <c r="H56" s="15" t="s">
        <v>43</v>
      </c>
      <c r="I56" s="15" t="s">
        <v>171</v>
      </c>
      <c r="J56" s="14" t="s">
        <v>60</v>
      </c>
      <c r="K56" s="14" t="s">
        <v>45</v>
      </c>
      <c r="L56" s="14" t="s">
        <v>46</v>
      </c>
      <c r="M56" s="14" t="s">
        <v>47</v>
      </c>
      <c r="N56" s="14" t="s">
        <v>47</v>
      </c>
      <c r="O56" s="14" t="s">
        <v>53</v>
      </c>
      <c r="P56" s="14">
        <v>1.5</v>
      </c>
      <c r="Q56" s="16">
        <f t="shared" si="9"/>
        <v>0</v>
      </c>
      <c r="R56" s="16">
        <v>0.0</v>
      </c>
      <c r="S56" s="14">
        <v>1000.0</v>
      </c>
      <c r="T56" s="14">
        <v>10.0</v>
      </c>
      <c r="U56" s="14">
        <v>0.0</v>
      </c>
      <c r="V56" s="14">
        <f t="shared" si="10"/>
        <v>0.12</v>
      </c>
      <c r="W56" s="14">
        <v>6.0</v>
      </c>
      <c r="X56" s="14" t="s">
        <v>46</v>
      </c>
      <c r="Y56" s="16">
        <v>0.0</v>
      </c>
      <c r="Z56" s="16">
        <v>0.0</v>
      </c>
      <c r="AA56" s="16">
        <v>0.0</v>
      </c>
      <c r="AB56" s="16">
        <v>0.0</v>
      </c>
      <c r="AC56" s="16">
        <v>0.0</v>
      </c>
      <c r="AD56" s="16">
        <v>0.0</v>
      </c>
      <c r="AE56" s="16">
        <v>0.0</v>
      </c>
      <c r="AF56" s="14">
        <v>4.0</v>
      </c>
      <c r="AG56" s="14" t="s">
        <v>163</v>
      </c>
      <c r="AH56" s="14" t="s">
        <v>163</v>
      </c>
      <c r="AI56" s="14">
        <v>50.0</v>
      </c>
      <c r="AJ56" s="14">
        <v>50.0</v>
      </c>
      <c r="AK56" s="8" t="s">
        <v>46</v>
      </c>
      <c r="AL56" s="9" t="s">
        <v>55</v>
      </c>
      <c r="AM56" s="9" t="s">
        <v>262</v>
      </c>
      <c r="AN56" s="9" t="s">
        <v>263</v>
      </c>
      <c r="AO56" s="11"/>
      <c r="AP56" s="11"/>
      <c r="AQ56" s="11"/>
      <c r="AR56" s="11"/>
      <c r="AS56" s="11"/>
      <c r="AT56" s="11"/>
      <c r="AU56" s="11"/>
      <c r="AV56" s="11"/>
      <c r="AW56" s="11"/>
      <c r="AX56" s="11"/>
      <c r="AY56" s="11"/>
      <c r="AZ56" s="11"/>
    </row>
    <row r="57" ht="15.75" customHeight="1">
      <c r="A57" s="12">
        <v>45070.0</v>
      </c>
      <c r="B57" s="13">
        <v>0.5138888888888888</v>
      </c>
      <c r="C57" s="14">
        <v>6.0</v>
      </c>
      <c r="D57" s="15" t="s">
        <v>42</v>
      </c>
      <c r="E57" s="15" t="s">
        <v>264</v>
      </c>
      <c r="F57" s="15" t="s">
        <v>265</v>
      </c>
      <c r="G57" s="15" t="s">
        <v>43</v>
      </c>
      <c r="H57" s="15" t="s">
        <v>43</v>
      </c>
      <c r="I57" s="15" t="s">
        <v>72</v>
      </c>
      <c r="J57" s="14" t="s">
        <v>60</v>
      </c>
      <c r="K57" s="14" t="s">
        <v>45</v>
      </c>
      <c r="L57" s="14" t="s">
        <v>46</v>
      </c>
      <c r="M57" s="14" t="s">
        <v>47</v>
      </c>
      <c r="N57" s="14" t="s">
        <v>47</v>
      </c>
      <c r="O57" s="14" t="s">
        <v>48</v>
      </c>
      <c r="P57" s="14">
        <v>1.5</v>
      </c>
      <c r="Q57" s="16">
        <f t="shared" si="9"/>
        <v>187.5</v>
      </c>
      <c r="R57" s="16">
        <v>187.5</v>
      </c>
      <c r="S57" s="14">
        <v>1000.0</v>
      </c>
      <c r="T57" s="14">
        <v>10.0</v>
      </c>
      <c r="U57" s="14">
        <v>3.0</v>
      </c>
      <c r="V57" s="14">
        <f t="shared" si="10"/>
        <v>0.16</v>
      </c>
      <c r="W57" s="14">
        <v>8.0</v>
      </c>
      <c r="X57" s="14" t="s">
        <v>46</v>
      </c>
      <c r="Y57" s="16">
        <v>0.0</v>
      </c>
      <c r="Z57" s="16">
        <v>61.875</v>
      </c>
      <c r="AA57" s="16">
        <v>125.625</v>
      </c>
      <c r="AB57" s="16">
        <v>0.0</v>
      </c>
      <c r="AC57" s="16">
        <v>0.0</v>
      </c>
      <c r="AD57" s="16">
        <v>0.0</v>
      </c>
      <c r="AE57" s="16">
        <v>0.0</v>
      </c>
      <c r="AF57" s="14">
        <v>6.0</v>
      </c>
      <c r="AG57" s="14" t="s">
        <v>163</v>
      </c>
      <c r="AH57" s="14" t="s">
        <v>163</v>
      </c>
      <c r="AI57" s="14">
        <v>50.0</v>
      </c>
      <c r="AJ57" s="14">
        <v>50.0</v>
      </c>
      <c r="AK57" s="8" t="s">
        <v>46</v>
      </c>
      <c r="AL57" s="9" t="s">
        <v>266</v>
      </c>
      <c r="AM57" s="9" t="s">
        <v>267</v>
      </c>
      <c r="AN57" s="9" t="s">
        <v>268</v>
      </c>
      <c r="AO57" s="9" t="s">
        <v>170</v>
      </c>
      <c r="AP57" s="11"/>
      <c r="AQ57" s="11"/>
      <c r="AR57" s="11"/>
      <c r="AS57" s="11"/>
      <c r="AT57" s="11"/>
      <c r="AU57" s="11"/>
      <c r="AV57" s="11"/>
      <c r="AW57" s="11"/>
      <c r="AX57" s="11"/>
      <c r="AY57" s="11"/>
      <c r="AZ57" s="11"/>
    </row>
    <row r="58" ht="15.75" customHeight="1">
      <c r="A58" s="12">
        <v>45077.0</v>
      </c>
      <c r="B58" s="13">
        <v>0.5</v>
      </c>
      <c r="C58" s="14">
        <v>5.2</v>
      </c>
      <c r="D58" s="15" t="s">
        <v>42</v>
      </c>
      <c r="E58" s="15" t="s">
        <v>42</v>
      </c>
      <c r="F58" s="15" t="s">
        <v>269</v>
      </c>
      <c r="G58" s="15" t="s">
        <v>43</v>
      </c>
      <c r="H58" s="15" t="s">
        <v>43</v>
      </c>
      <c r="I58" s="15" t="s">
        <v>156</v>
      </c>
      <c r="J58" s="14" t="s">
        <v>60</v>
      </c>
      <c r="K58" s="14" t="s">
        <v>45</v>
      </c>
      <c r="L58" s="14" t="s">
        <v>46</v>
      </c>
      <c r="M58" s="14" t="s">
        <v>47</v>
      </c>
      <c r="N58" s="14" t="s">
        <v>47</v>
      </c>
      <c r="O58" s="14" t="s">
        <v>48</v>
      </c>
      <c r="P58" s="14">
        <v>1.5</v>
      </c>
      <c r="Q58" s="16">
        <f t="shared" si="9"/>
        <v>437.5</v>
      </c>
      <c r="R58" s="16">
        <v>437.5</v>
      </c>
      <c r="S58" s="14">
        <v>1000.0</v>
      </c>
      <c r="T58" s="14">
        <v>10.0</v>
      </c>
      <c r="U58" s="14">
        <v>7.0</v>
      </c>
      <c r="V58" s="14">
        <f t="shared" si="10"/>
        <v>0.16</v>
      </c>
      <c r="W58" s="14">
        <v>8.0</v>
      </c>
      <c r="X58" s="14" t="s">
        <v>46</v>
      </c>
      <c r="Y58" s="16">
        <v>371.875</v>
      </c>
      <c r="Z58" s="16">
        <v>0.0</v>
      </c>
      <c r="AA58" s="16">
        <v>65.625</v>
      </c>
      <c r="AB58" s="16">
        <v>0.0</v>
      </c>
      <c r="AC58" s="16">
        <v>0.0</v>
      </c>
      <c r="AD58" s="16">
        <v>0.0</v>
      </c>
      <c r="AE58" s="16">
        <v>0.0</v>
      </c>
      <c r="AF58" s="14">
        <v>6.0</v>
      </c>
      <c r="AG58" s="14" t="s">
        <v>163</v>
      </c>
      <c r="AH58" s="14" t="s">
        <v>163</v>
      </c>
      <c r="AI58" s="14">
        <v>50.0</v>
      </c>
      <c r="AJ58" s="14">
        <v>50.0</v>
      </c>
      <c r="AK58" s="8" t="s">
        <v>46</v>
      </c>
      <c r="AL58" s="9" t="s">
        <v>266</v>
      </c>
      <c r="AM58" s="9" t="s">
        <v>270</v>
      </c>
      <c r="AN58" s="9" t="s">
        <v>271</v>
      </c>
      <c r="AO58" s="9" t="s">
        <v>272</v>
      </c>
      <c r="AP58" s="11"/>
      <c r="AQ58" s="11"/>
      <c r="AR58" s="11"/>
      <c r="AS58" s="11"/>
      <c r="AT58" s="11"/>
      <c r="AU58" s="11"/>
      <c r="AV58" s="11"/>
      <c r="AW58" s="11"/>
      <c r="AX58" s="11"/>
      <c r="AY58" s="11"/>
      <c r="AZ58" s="11"/>
    </row>
    <row r="59" ht="15.75" customHeight="1">
      <c r="A59" s="12">
        <v>45085.0</v>
      </c>
      <c r="B59" s="13">
        <v>0.5833333333333334</v>
      </c>
      <c r="C59" s="14">
        <v>4.0</v>
      </c>
      <c r="D59" s="15" t="s">
        <v>42</v>
      </c>
      <c r="E59" s="15" t="s">
        <v>273</v>
      </c>
      <c r="F59" s="15" t="s">
        <v>274</v>
      </c>
      <c r="G59" s="15" t="s">
        <v>43</v>
      </c>
      <c r="H59" s="15" t="s">
        <v>43</v>
      </c>
      <c r="I59" s="15" t="s">
        <v>66</v>
      </c>
      <c r="J59" s="14" t="s">
        <v>52</v>
      </c>
      <c r="K59" s="14" t="s">
        <v>45</v>
      </c>
      <c r="L59" s="14" t="s">
        <v>46</v>
      </c>
      <c r="M59" s="14" t="s">
        <v>47</v>
      </c>
      <c r="N59" s="14" t="s">
        <v>47</v>
      </c>
      <c r="O59" s="14" t="s">
        <v>48</v>
      </c>
      <c r="P59" s="14">
        <v>1.5</v>
      </c>
      <c r="Q59" s="16">
        <f t="shared" si="9"/>
        <v>83.33333333</v>
      </c>
      <c r="R59" s="16">
        <v>83.33333333333331</v>
      </c>
      <c r="S59" s="14">
        <v>1000.0</v>
      </c>
      <c r="T59" s="14">
        <v>10.0</v>
      </c>
      <c r="U59" s="14">
        <v>1.0</v>
      </c>
      <c r="V59" s="14">
        <f t="shared" si="10"/>
        <v>0.12</v>
      </c>
      <c r="W59" s="14">
        <v>6.0</v>
      </c>
      <c r="X59" s="14" t="s">
        <v>46</v>
      </c>
      <c r="Y59" s="16">
        <v>83.33333333333331</v>
      </c>
      <c r="Z59" s="16">
        <v>0.0</v>
      </c>
      <c r="AA59" s="16">
        <v>0.0</v>
      </c>
      <c r="AB59" s="16">
        <v>0.0</v>
      </c>
      <c r="AC59" s="16">
        <v>0.0</v>
      </c>
      <c r="AD59" s="16">
        <v>0.0</v>
      </c>
      <c r="AE59" s="16">
        <v>0.0</v>
      </c>
      <c r="AF59" s="14">
        <v>6.0</v>
      </c>
      <c r="AG59" s="14" t="s">
        <v>163</v>
      </c>
      <c r="AH59" s="14" t="s">
        <v>163</v>
      </c>
      <c r="AI59" s="14">
        <v>50.0</v>
      </c>
      <c r="AJ59" s="14">
        <v>50.0</v>
      </c>
      <c r="AK59" s="8" t="s">
        <v>46</v>
      </c>
      <c r="AL59" s="9" t="s">
        <v>275</v>
      </c>
      <c r="AM59" s="9" t="s">
        <v>47</v>
      </c>
      <c r="AN59" s="9" t="s">
        <v>276</v>
      </c>
      <c r="AO59" s="9" t="s">
        <v>277</v>
      </c>
      <c r="AP59" s="11"/>
      <c r="AQ59" s="11"/>
      <c r="AR59" s="11"/>
      <c r="AS59" s="11"/>
      <c r="AT59" s="11"/>
      <c r="AU59" s="11"/>
      <c r="AV59" s="11"/>
      <c r="AW59" s="11"/>
      <c r="AX59" s="11"/>
      <c r="AY59" s="11"/>
      <c r="AZ59" s="11"/>
    </row>
    <row r="60" ht="15.75" customHeight="1">
      <c r="A60" s="12">
        <v>45092.0</v>
      </c>
      <c r="B60" s="13">
        <v>0.4791666666666667</v>
      </c>
      <c r="C60" s="14">
        <v>3.8</v>
      </c>
      <c r="D60" s="15" t="s">
        <v>42</v>
      </c>
      <c r="E60" s="15" t="s">
        <v>134</v>
      </c>
      <c r="F60" s="15" t="s">
        <v>265</v>
      </c>
      <c r="G60" s="15" t="s">
        <v>43</v>
      </c>
      <c r="H60" s="15" t="s">
        <v>43</v>
      </c>
      <c r="I60" s="15" t="s">
        <v>278</v>
      </c>
      <c r="J60" s="14" t="s">
        <v>44</v>
      </c>
      <c r="K60" s="14" t="s">
        <v>68</v>
      </c>
      <c r="L60" s="14" t="s">
        <v>279</v>
      </c>
      <c r="M60" s="14" t="s">
        <v>47</v>
      </c>
      <c r="N60" s="14" t="s">
        <v>47</v>
      </c>
      <c r="O60" s="14" t="s">
        <v>48</v>
      </c>
      <c r="P60" s="14">
        <v>1.5</v>
      </c>
      <c r="Q60" s="16">
        <f t="shared" si="9"/>
        <v>125</v>
      </c>
      <c r="R60" s="16">
        <v>125.0</v>
      </c>
      <c r="S60" s="14">
        <v>500.0</v>
      </c>
      <c r="T60" s="14">
        <v>5.0</v>
      </c>
      <c r="U60" s="14">
        <v>2.0</v>
      </c>
      <c r="V60" s="14">
        <f t="shared" si="10"/>
        <v>0.16</v>
      </c>
      <c r="W60" s="14">
        <v>8.0</v>
      </c>
      <c r="X60" s="14" t="s">
        <v>46</v>
      </c>
      <c r="Y60" s="16">
        <v>62.5</v>
      </c>
      <c r="Z60" s="16">
        <v>62.5</v>
      </c>
      <c r="AA60" s="16">
        <v>0.0</v>
      </c>
      <c r="AB60" s="16">
        <v>0.0</v>
      </c>
      <c r="AC60" s="16">
        <v>0.0</v>
      </c>
      <c r="AD60" s="16">
        <v>0.0</v>
      </c>
      <c r="AE60" s="16">
        <v>0.0</v>
      </c>
      <c r="AF60" s="14">
        <v>6.0</v>
      </c>
      <c r="AG60" s="14" t="s">
        <v>163</v>
      </c>
      <c r="AH60" s="14" t="s">
        <v>163</v>
      </c>
      <c r="AI60" s="14">
        <v>50.0</v>
      </c>
      <c r="AJ60" s="14">
        <v>50.0</v>
      </c>
      <c r="AK60" s="8" t="s">
        <v>280</v>
      </c>
      <c r="AL60" s="9" t="s">
        <v>281</v>
      </c>
      <c r="AM60" s="9" t="s">
        <v>55</v>
      </c>
      <c r="AN60" s="9" t="s">
        <v>282</v>
      </c>
      <c r="AO60" s="9" t="s">
        <v>283</v>
      </c>
      <c r="AP60" s="11"/>
      <c r="AQ60" s="11"/>
      <c r="AR60" s="11"/>
      <c r="AS60" s="11"/>
      <c r="AT60" s="11"/>
      <c r="AU60" s="11"/>
      <c r="AV60" s="11"/>
      <c r="AW60" s="11"/>
      <c r="AX60" s="11"/>
      <c r="AY60" s="11"/>
      <c r="AZ60" s="11"/>
    </row>
    <row r="61" ht="15.75" customHeight="1">
      <c r="A61" s="12">
        <v>45099.0</v>
      </c>
      <c r="B61" s="13">
        <v>0.5</v>
      </c>
      <c r="C61" s="14">
        <v>5.2</v>
      </c>
      <c r="D61" s="15" t="s">
        <v>42</v>
      </c>
      <c r="E61" s="15" t="s">
        <v>284</v>
      </c>
      <c r="F61" s="15" t="s">
        <v>42</v>
      </c>
      <c r="G61" s="15" t="s">
        <v>43</v>
      </c>
      <c r="H61" s="15" t="s">
        <v>43</v>
      </c>
      <c r="I61" s="15" t="s">
        <v>42</v>
      </c>
      <c r="J61" s="14" t="s">
        <v>60</v>
      </c>
      <c r="K61" s="14" t="s">
        <v>45</v>
      </c>
      <c r="L61" s="14" t="s">
        <v>46</v>
      </c>
      <c r="M61" s="14" t="s">
        <v>47</v>
      </c>
      <c r="N61" s="14" t="s">
        <v>47</v>
      </c>
      <c r="O61" s="14" t="s">
        <v>48</v>
      </c>
      <c r="P61" s="14">
        <v>1.5</v>
      </c>
      <c r="Q61" s="16">
        <f t="shared" si="9"/>
        <v>1187.5</v>
      </c>
      <c r="R61" s="16">
        <v>1187.5</v>
      </c>
      <c r="S61" s="14">
        <v>1000.0</v>
      </c>
      <c r="T61" s="14">
        <v>10.0</v>
      </c>
      <c r="U61" s="14">
        <v>19.0</v>
      </c>
      <c r="V61" s="14">
        <f t="shared" si="10"/>
        <v>0.16</v>
      </c>
      <c r="W61" s="14">
        <v>8.0</v>
      </c>
      <c r="X61" s="14" t="s">
        <v>46</v>
      </c>
      <c r="Y61" s="16">
        <v>59.375</v>
      </c>
      <c r="Z61" s="16">
        <v>878.75</v>
      </c>
      <c r="AA61" s="16">
        <v>249.375</v>
      </c>
      <c r="AB61" s="16">
        <v>0.0</v>
      </c>
      <c r="AC61" s="16">
        <v>0.0</v>
      </c>
      <c r="AD61" s="16">
        <v>0.0</v>
      </c>
      <c r="AE61" s="16">
        <v>0.0</v>
      </c>
      <c r="AF61" s="14">
        <v>6.0</v>
      </c>
      <c r="AG61" s="14" t="s">
        <v>163</v>
      </c>
      <c r="AH61" s="14" t="s">
        <v>163</v>
      </c>
      <c r="AI61" s="14">
        <v>50.0</v>
      </c>
      <c r="AJ61" s="14">
        <v>50.0</v>
      </c>
      <c r="AK61" s="8" t="s">
        <v>280</v>
      </c>
      <c r="AL61" s="9" t="s">
        <v>285</v>
      </c>
      <c r="AM61" s="9" t="s">
        <v>90</v>
      </c>
      <c r="AN61" s="9" t="s">
        <v>286</v>
      </c>
      <c r="AO61" s="9" t="s">
        <v>287</v>
      </c>
      <c r="AP61" s="11"/>
      <c r="AQ61" s="11"/>
      <c r="AR61" s="11"/>
      <c r="AS61" s="11"/>
      <c r="AT61" s="11"/>
      <c r="AU61" s="11"/>
      <c r="AV61" s="11"/>
      <c r="AW61" s="11"/>
      <c r="AX61" s="11"/>
      <c r="AY61" s="11"/>
      <c r="AZ61" s="11"/>
    </row>
    <row r="62" ht="15.75" customHeight="1">
      <c r="A62" s="12">
        <v>45104.0</v>
      </c>
      <c r="B62" s="13">
        <v>0.4791666666666667</v>
      </c>
      <c r="C62" s="14">
        <v>6.4</v>
      </c>
      <c r="D62" s="15" t="s">
        <v>42</v>
      </c>
      <c r="E62" s="15" t="s">
        <v>42</v>
      </c>
      <c r="F62" s="15" t="s">
        <v>42</v>
      </c>
      <c r="G62" s="15" t="s">
        <v>43</v>
      </c>
      <c r="H62" s="15" t="s">
        <v>43</v>
      </c>
      <c r="I62" s="15" t="s">
        <v>42</v>
      </c>
      <c r="J62" s="14" t="s">
        <v>60</v>
      </c>
      <c r="K62" s="14" t="s">
        <v>45</v>
      </c>
      <c r="L62" s="14" t="s">
        <v>46</v>
      </c>
      <c r="M62" s="14" t="s">
        <v>47</v>
      </c>
      <c r="N62" s="14" t="s">
        <v>47</v>
      </c>
      <c r="O62" s="14" t="s">
        <v>53</v>
      </c>
      <c r="P62" s="14">
        <v>1.5</v>
      </c>
      <c r="Q62" s="16">
        <f t="shared" si="9"/>
        <v>0</v>
      </c>
      <c r="R62" s="16">
        <v>0.0</v>
      </c>
      <c r="S62" s="14">
        <v>1000.0</v>
      </c>
      <c r="T62" s="14">
        <v>10.0</v>
      </c>
      <c r="U62" s="14">
        <v>0.0</v>
      </c>
      <c r="V62" s="14">
        <f t="shared" si="10"/>
        <v>0.16</v>
      </c>
      <c r="W62" s="14">
        <v>8.0</v>
      </c>
      <c r="X62" s="14" t="s">
        <v>46</v>
      </c>
      <c r="Y62" s="16">
        <v>0.0</v>
      </c>
      <c r="Z62" s="16">
        <v>0.0</v>
      </c>
      <c r="AA62" s="16">
        <v>0.0</v>
      </c>
      <c r="AB62" s="16">
        <v>0.0</v>
      </c>
      <c r="AC62" s="16">
        <v>0.0</v>
      </c>
      <c r="AD62" s="16">
        <v>0.0</v>
      </c>
      <c r="AE62" s="16">
        <v>0.0</v>
      </c>
      <c r="AF62" s="14">
        <v>6.0</v>
      </c>
      <c r="AG62" s="14" t="s">
        <v>163</v>
      </c>
      <c r="AH62" s="14" t="s">
        <v>163</v>
      </c>
      <c r="AI62" s="14">
        <v>50.0</v>
      </c>
      <c r="AJ62" s="14">
        <v>50.0</v>
      </c>
      <c r="AK62" s="8" t="s">
        <v>46</v>
      </c>
      <c r="AL62" s="9" t="s">
        <v>47</v>
      </c>
      <c r="AM62" s="9" t="s">
        <v>288</v>
      </c>
      <c r="AN62" s="9" t="s">
        <v>289</v>
      </c>
      <c r="AO62" s="9" t="s">
        <v>290</v>
      </c>
      <c r="AP62" s="11"/>
      <c r="AQ62" s="11"/>
      <c r="AR62" s="11"/>
      <c r="AS62" s="11"/>
      <c r="AT62" s="11"/>
      <c r="AU62" s="11"/>
      <c r="AV62" s="11"/>
      <c r="AW62" s="11"/>
      <c r="AX62" s="11"/>
      <c r="AY62" s="11"/>
      <c r="AZ62" s="11"/>
    </row>
    <row r="63" ht="15.75" customHeight="1">
      <c r="A63" s="12">
        <v>45119.0</v>
      </c>
      <c r="B63" s="13">
        <v>0.4479166666666667</v>
      </c>
      <c r="C63" s="14">
        <v>5.3</v>
      </c>
      <c r="D63" s="15" t="s">
        <v>42</v>
      </c>
      <c r="E63" s="15" t="s">
        <v>42</v>
      </c>
      <c r="F63" s="15" t="s">
        <v>291</v>
      </c>
      <c r="G63" s="15" t="s">
        <v>43</v>
      </c>
      <c r="H63" s="15" t="s">
        <v>43</v>
      </c>
      <c r="I63" s="15" t="s">
        <v>79</v>
      </c>
      <c r="J63" s="14" t="s">
        <v>44</v>
      </c>
      <c r="K63" s="14" t="s">
        <v>45</v>
      </c>
      <c r="L63" s="14" t="s">
        <v>46</v>
      </c>
      <c r="M63" s="14" t="s">
        <v>47</v>
      </c>
      <c r="N63" s="14" t="s">
        <v>47</v>
      </c>
      <c r="O63" s="14" t="s">
        <v>53</v>
      </c>
      <c r="P63" s="14">
        <v>1.5</v>
      </c>
      <c r="Q63" s="16">
        <f t="shared" si="9"/>
        <v>5312.5</v>
      </c>
      <c r="R63" s="16">
        <v>5312.5</v>
      </c>
      <c r="S63" s="14">
        <v>1000.0</v>
      </c>
      <c r="T63" s="14">
        <v>10.0</v>
      </c>
      <c r="U63" s="14">
        <v>85.0</v>
      </c>
      <c r="V63" s="14">
        <f t="shared" si="10"/>
        <v>0.16</v>
      </c>
      <c r="W63" s="14">
        <v>8.0</v>
      </c>
      <c r="X63" s="14" t="s">
        <v>46</v>
      </c>
      <c r="Y63" s="16">
        <v>1646.875</v>
      </c>
      <c r="Z63" s="16">
        <v>1328.125</v>
      </c>
      <c r="AA63" s="16">
        <v>2284.375</v>
      </c>
      <c r="AB63" s="16">
        <v>0.0</v>
      </c>
      <c r="AC63" s="16">
        <v>0.0</v>
      </c>
      <c r="AD63" s="16">
        <v>53.125</v>
      </c>
      <c r="AE63" s="16">
        <v>0.0</v>
      </c>
      <c r="AF63" s="14">
        <v>5.0</v>
      </c>
      <c r="AG63" s="14" t="s">
        <v>163</v>
      </c>
      <c r="AH63" s="14" t="s">
        <v>163</v>
      </c>
      <c r="AI63" s="14">
        <v>50.0</v>
      </c>
      <c r="AJ63" s="14">
        <v>10.0</v>
      </c>
      <c r="AK63" s="8" t="s">
        <v>46</v>
      </c>
      <c r="AL63" s="9" t="s">
        <v>292</v>
      </c>
      <c r="AM63" s="9" t="s">
        <v>293</v>
      </c>
      <c r="AN63" s="9" t="s">
        <v>294</v>
      </c>
      <c r="AO63" s="9" t="s">
        <v>295</v>
      </c>
      <c r="AP63" s="11"/>
      <c r="AQ63" s="11"/>
      <c r="AR63" s="11"/>
      <c r="AS63" s="11"/>
      <c r="AT63" s="11"/>
      <c r="AU63" s="11"/>
      <c r="AV63" s="11"/>
      <c r="AW63" s="11"/>
      <c r="AX63" s="11"/>
      <c r="AY63" s="11"/>
      <c r="AZ63" s="11"/>
    </row>
    <row r="64" ht="15.75" customHeight="1">
      <c r="A64" s="12">
        <v>45126.0</v>
      </c>
      <c r="B64" s="13">
        <v>0.5208333333333334</v>
      </c>
      <c r="C64" s="14">
        <v>4.0</v>
      </c>
      <c r="D64" s="15" t="s">
        <v>42</v>
      </c>
      <c r="E64" s="15" t="s">
        <v>296</v>
      </c>
      <c r="F64" s="15" t="s">
        <v>297</v>
      </c>
      <c r="G64" s="15" t="s">
        <v>72</v>
      </c>
      <c r="H64" s="15" t="s">
        <v>66</v>
      </c>
      <c r="I64" s="15" t="s">
        <v>298</v>
      </c>
      <c r="J64" s="14" t="s">
        <v>44</v>
      </c>
      <c r="K64" s="14" t="s">
        <v>45</v>
      </c>
      <c r="L64" s="14" t="s">
        <v>46</v>
      </c>
      <c r="M64" s="14" t="s">
        <v>47</v>
      </c>
      <c r="N64" s="14" t="s">
        <v>47</v>
      </c>
      <c r="O64" s="14" t="s">
        <v>48</v>
      </c>
      <c r="P64" s="14">
        <v>1.5</v>
      </c>
      <c r="Q64" s="16">
        <f t="shared" si="9"/>
        <v>5666.666667</v>
      </c>
      <c r="R64" s="16">
        <v>5666.666666666668</v>
      </c>
      <c r="S64" s="14">
        <v>1000.0</v>
      </c>
      <c r="T64" s="14">
        <v>10.0</v>
      </c>
      <c r="U64" s="14">
        <v>68.0</v>
      </c>
      <c r="V64" s="14">
        <f t="shared" si="10"/>
        <v>0.12</v>
      </c>
      <c r="W64" s="14">
        <v>6.0</v>
      </c>
      <c r="X64" s="14" t="s">
        <v>46</v>
      </c>
      <c r="Y64" s="16">
        <v>1076.666666666667</v>
      </c>
      <c r="Z64" s="16">
        <v>3456.6666666666674</v>
      </c>
      <c r="AA64" s="16">
        <v>1076.666666666667</v>
      </c>
      <c r="AB64" s="16">
        <v>0.0</v>
      </c>
      <c r="AC64" s="16">
        <v>0.0</v>
      </c>
      <c r="AD64" s="16">
        <v>56.66666666666668</v>
      </c>
      <c r="AE64" s="16">
        <v>0.0</v>
      </c>
      <c r="AF64" s="14">
        <v>6.0</v>
      </c>
      <c r="AG64" s="14" t="s">
        <v>163</v>
      </c>
      <c r="AH64" s="14" t="s">
        <v>163</v>
      </c>
      <c r="AI64" s="14">
        <v>50.0</v>
      </c>
      <c r="AJ64" s="14">
        <v>50.0</v>
      </c>
      <c r="AK64" s="8" t="s">
        <v>46</v>
      </c>
      <c r="AL64" s="9" t="s">
        <v>299</v>
      </c>
      <c r="AM64" s="9" t="s">
        <v>47</v>
      </c>
      <c r="AN64" s="9" t="s">
        <v>300</v>
      </c>
      <c r="AO64" s="9" t="s">
        <v>301</v>
      </c>
      <c r="AP64" s="11"/>
      <c r="AQ64" s="11"/>
      <c r="AR64" s="11"/>
      <c r="AS64" s="11"/>
      <c r="AT64" s="11"/>
      <c r="AU64" s="11"/>
      <c r="AV64" s="11"/>
      <c r="AW64" s="11"/>
      <c r="AX64" s="11"/>
      <c r="AY64" s="11"/>
      <c r="AZ64" s="11"/>
    </row>
    <row r="65" ht="15.75" customHeight="1">
      <c r="A65" s="12">
        <v>45133.0</v>
      </c>
      <c r="B65" s="13">
        <v>0.46875</v>
      </c>
      <c r="C65" s="14">
        <v>6.7</v>
      </c>
      <c r="D65" s="15" t="s">
        <v>42</v>
      </c>
      <c r="E65" s="15" t="s">
        <v>302</v>
      </c>
      <c r="F65" s="15" t="s">
        <v>297</v>
      </c>
      <c r="G65" s="15" t="s">
        <v>43</v>
      </c>
      <c r="H65" s="15" t="s">
        <v>43</v>
      </c>
      <c r="I65" s="15" t="s">
        <v>297</v>
      </c>
      <c r="J65" s="14" t="s">
        <v>303</v>
      </c>
      <c r="K65" s="14" t="s">
        <v>45</v>
      </c>
      <c r="L65" s="14" t="s">
        <v>46</v>
      </c>
      <c r="M65" s="14" t="s">
        <v>47</v>
      </c>
      <c r="N65" s="14" t="s">
        <v>47</v>
      </c>
      <c r="O65" s="14" t="s">
        <v>48</v>
      </c>
      <c r="P65" s="14">
        <v>1.5</v>
      </c>
      <c r="Q65" s="16">
        <f t="shared" si="9"/>
        <v>6062.5</v>
      </c>
      <c r="R65" s="16">
        <v>6062.5</v>
      </c>
      <c r="S65" s="14">
        <v>1000.0</v>
      </c>
      <c r="T65" s="14">
        <v>10.0</v>
      </c>
      <c r="U65" s="14">
        <v>97.0</v>
      </c>
      <c r="V65" s="14">
        <f t="shared" si="10"/>
        <v>0.16</v>
      </c>
      <c r="W65" s="14">
        <v>8.0</v>
      </c>
      <c r="X65" s="14" t="s">
        <v>46</v>
      </c>
      <c r="Y65" s="16">
        <v>1940.0</v>
      </c>
      <c r="Z65" s="16">
        <v>2182.5</v>
      </c>
      <c r="AA65" s="16">
        <v>1151.875</v>
      </c>
      <c r="AB65" s="16">
        <v>0.0</v>
      </c>
      <c r="AC65" s="16">
        <v>0.0</v>
      </c>
      <c r="AD65" s="16">
        <v>788.125</v>
      </c>
      <c r="AE65" s="16">
        <v>0.0</v>
      </c>
      <c r="AF65" s="14">
        <v>4.0</v>
      </c>
      <c r="AG65" s="14" t="s">
        <v>163</v>
      </c>
      <c r="AH65" s="14" t="s">
        <v>163</v>
      </c>
      <c r="AI65" s="14">
        <v>50.0</v>
      </c>
      <c r="AJ65" s="14">
        <v>50.0</v>
      </c>
      <c r="AK65" s="8" t="s">
        <v>46</v>
      </c>
      <c r="AL65" s="9" t="s">
        <v>304</v>
      </c>
      <c r="AM65" s="9" t="s">
        <v>47</v>
      </c>
      <c r="AN65" s="9" t="s">
        <v>305</v>
      </c>
      <c r="AO65" s="9" t="s">
        <v>306</v>
      </c>
      <c r="AP65" s="11"/>
      <c r="AQ65" s="11"/>
      <c r="AR65" s="11"/>
      <c r="AS65" s="11"/>
      <c r="AT65" s="11"/>
      <c r="AU65" s="11"/>
      <c r="AV65" s="11"/>
      <c r="AW65" s="11"/>
      <c r="AX65" s="11"/>
      <c r="AY65" s="11"/>
      <c r="AZ65" s="11"/>
    </row>
    <row r="66" ht="15.75" customHeight="1">
      <c r="A66" s="12">
        <v>45140.0</v>
      </c>
      <c r="B66" s="13">
        <v>0.46875</v>
      </c>
      <c r="C66" s="14">
        <v>3.8</v>
      </c>
      <c r="D66" s="15" t="s">
        <v>42</v>
      </c>
      <c r="E66" s="15" t="s">
        <v>42</v>
      </c>
      <c r="F66" s="15" t="s">
        <v>302</v>
      </c>
      <c r="G66" s="15" t="s">
        <v>264</v>
      </c>
      <c r="H66" s="15" t="s">
        <v>273</v>
      </c>
      <c r="I66" s="15" t="s">
        <v>307</v>
      </c>
      <c r="J66" s="14" t="s">
        <v>44</v>
      </c>
      <c r="K66" s="14" t="s">
        <v>68</v>
      </c>
      <c r="L66" s="14" t="s">
        <v>308</v>
      </c>
      <c r="M66" s="14" t="s">
        <v>47</v>
      </c>
      <c r="N66" s="14" t="s">
        <v>47</v>
      </c>
      <c r="O66" s="14" t="s">
        <v>48</v>
      </c>
      <c r="P66" s="14">
        <v>1.5</v>
      </c>
      <c r="Q66" s="16">
        <f t="shared" si="9"/>
        <v>2250</v>
      </c>
      <c r="R66" s="16">
        <v>2250.0</v>
      </c>
      <c r="S66" s="14">
        <v>1000.0</v>
      </c>
      <c r="T66" s="14">
        <v>10.0</v>
      </c>
      <c r="U66" s="14">
        <v>36.0</v>
      </c>
      <c r="V66" s="14">
        <f t="shared" si="10"/>
        <v>0.16</v>
      </c>
      <c r="W66" s="14">
        <v>8.0</v>
      </c>
      <c r="X66" s="14" t="s">
        <v>46</v>
      </c>
      <c r="Y66" s="16">
        <v>945.0</v>
      </c>
      <c r="Z66" s="16">
        <v>427.5</v>
      </c>
      <c r="AA66" s="16">
        <v>810.0</v>
      </c>
      <c r="AB66" s="16">
        <v>67.5</v>
      </c>
      <c r="AC66" s="16">
        <v>0.0</v>
      </c>
      <c r="AD66" s="16">
        <v>0.0</v>
      </c>
      <c r="AE66" s="16">
        <v>0.0</v>
      </c>
      <c r="AF66" s="14">
        <v>6.0</v>
      </c>
      <c r="AG66" s="14" t="s">
        <v>163</v>
      </c>
      <c r="AH66" s="14" t="s">
        <v>163</v>
      </c>
      <c r="AI66" s="14">
        <v>50.0</v>
      </c>
      <c r="AJ66" s="14">
        <v>50.0</v>
      </c>
      <c r="AK66" s="8" t="s">
        <v>46</v>
      </c>
      <c r="AL66" s="9" t="s">
        <v>309</v>
      </c>
      <c r="AM66" s="9" t="s">
        <v>310</v>
      </c>
      <c r="AN66" s="9" t="s">
        <v>311</v>
      </c>
      <c r="AO66" s="9" t="s">
        <v>312</v>
      </c>
      <c r="AP66" s="11"/>
      <c r="AQ66" s="11"/>
      <c r="AR66" s="11"/>
      <c r="AS66" s="11"/>
      <c r="AT66" s="11"/>
      <c r="AU66" s="11"/>
      <c r="AV66" s="11"/>
      <c r="AW66" s="11"/>
      <c r="AX66" s="11"/>
      <c r="AY66" s="11"/>
      <c r="AZ66" s="11"/>
    </row>
    <row r="67" ht="15.75" customHeight="1">
      <c r="A67" s="12">
        <v>45147.0</v>
      </c>
      <c r="B67" s="13">
        <v>0.4791666666666667</v>
      </c>
      <c r="C67" s="14">
        <v>6.2</v>
      </c>
      <c r="D67" s="15" t="s">
        <v>42</v>
      </c>
      <c r="E67" s="15" t="s">
        <v>66</v>
      </c>
      <c r="F67" s="15" t="s">
        <v>79</v>
      </c>
      <c r="G67" s="15" t="s">
        <v>43</v>
      </c>
      <c r="H67" s="15" t="s">
        <v>43</v>
      </c>
      <c r="I67" s="15" t="s">
        <v>42</v>
      </c>
      <c r="J67" s="14" t="s">
        <v>60</v>
      </c>
      <c r="K67" s="14" t="s">
        <v>45</v>
      </c>
      <c r="L67" s="14" t="s">
        <v>46</v>
      </c>
      <c r="M67" s="14" t="s">
        <v>47</v>
      </c>
      <c r="N67" s="14" t="s">
        <v>47</v>
      </c>
      <c r="O67" s="14" t="s">
        <v>53</v>
      </c>
      <c r="P67" s="14">
        <v>1.5</v>
      </c>
      <c r="Q67" s="16">
        <f t="shared" si="9"/>
        <v>500</v>
      </c>
      <c r="R67" s="16">
        <v>310.0</v>
      </c>
      <c r="S67" s="14">
        <v>1000.0</v>
      </c>
      <c r="T67" s="14">
        <v>10.0</v>
      </c>
      <c r="U67" s="14">
        <v>8.0</v>
      </c>
      <c r="V67" s="14">
        <f t="shared" si="10"/>
        <v>0.16</v>
      </c>
      <c r="W67" s="14">
        <v>8.0</v>
      </c>
      <c r="X67" s="14" t="s">
        <v>46</v>
      </c>
      <c r="Y67" s="16">
        <v>250.0</v>
      </c>
      <c r="Z67" s="16">
        <v>60.0</v>
      </c>
      <c r="AA67" s="16">
        <v>0.0</v>
      </c>
      <c r="AB67" s="16">
        <v>0.0</v>
      </c>
      <c r="AC67" s="16">
        <v>190.0</v>
      </c>
      <c r="AD67" s="16">
        <v>0.0</v>
      </c>
      <c r="AE67" s="16">
        <v>0.0</v>
      </c>
      <c r="AF67" s="14">
        <v>6.0</v>
      </c>
      <c r="AG67" s="14" t="s">
        <v>163</v>
      </c>
      <c r="AH67" s="14" t="s">
        <v>163</v>
      </c>
      <c r="AI67" s="14">
        <v>50.0</v>
      </c>
      <c r="AJ67" s="14">
        <v>50.0</v>
      </c>
      <c r="AK67" s="8" t="s">
        <v>46</v>
      </c>
      <c r="AL67" s="9" t="s">
        <v>313</v>
      </c>
      <c r="AM67" s="9" t="s">
        <v>314</v>
      </c>
      <c r="AN67" s="9" t="s">
        <v>315</v>
      </c>
      <c r="AO67" s="9" t="s">
        <v>316</v>
      </c>
      <c r="AP67" s="11"/>
      <c r="AQ67" s="11"/>
      <c r="AR67" s="11"/>
      <c r="AS67" s="11"/>
      <c r="AT67" s="11"/>
      <c r="AU67" s="11"/>
      <c r="AV67" s="11"/>
      <c r="AW67" s="11"/>
      <c r="AX67" s="11"/>
      <c r="AY67" s="11"/>
      <c r="AZ67" s="11"/>
    </row>
    <row r="68" ht="15.75" customHeight="1">
      <c r="A68" s="12">
        <v>45161.0</v>
      </c>
      <c r="B68" s="13">
        <v>0.4583333333333333</v>
      </c>
      <c r="C68" s="14">
        <v>7.4</v>
      </c>
      <c r="D68" s="15" t="s">
        <v>42</v>
      </c>
      <c r="E68" s="15" t="s">
        <v>317</v>
      </c>
      <c r="F68" s="15" t="s">
        <v>317</v>
      </c>
      <c r="G68" s="15" t="s">
        <v>43</v>
      </c>
      <c r="H68" s="15" t="s">
        <v>43</v>
      </c>
      <c r="I68" s="15" t="s">
        <v>317</v>
      </c>
      <c r="J68" s="14" t="s">
        <v>60</v>
      </c>
      <c r="K68" s="14" t="s">
        <v>45</v>
      </c>
      <c r="L68" s="14" t="s">
        <v>46</v>
      </c>
      <c r="M68" s="14" t="s">
        <v>47</v>
      </c>
      <c r="N68" s="14" t="s">
        <v>47</v>
      </c>
      <c r="O68" s="14" t="s">
        <v>53</v>
      </c>
      <c r="P68" s="14">
        <v>1.5</v>
      </c>
      <c r="Q68" s="16">
        <f t="shared" si="9"/>
        <v>1500</v>
      </c>
      <c r="R68" s="16">
        <v>1500.0</v>
      </c>
      <c r="S68" s="14">
        <v>1000.0</v>
      </c>
      <c r="T68" s="14">
        <v>10.0</v>
      </c>
      <c r="U68" s="14">
        <v>24.0</v>
      </c>
      <c r="V68" s="14">
        <f t="shared" si="10"/>
        <v>0.16</v>
      </c>
      <c r="W68" s="14">
        <v>8.0</v>
      </c>
      <c r="X68" s="14" t="s">
        <v>46</v>
      </c>
      <c r="Y68" s="16">
        <v>870.0</v>
      </c>
      <c r="Z68" s="16">
        <v>495.0</v>
      </c>
      <c r="AA68" s="16">
        <v>135.0</v>
      </c>
      <c r="AB68" s="16">
        <v>0.0</v>
      </c>
      <c r="AC68" s="16">
        <v>0.0</v>
      </c>
      <c r="AD68" s="16">
        <v>0.0</v>
      </c>
      <c r="AE68" s="16">
        <v>0.0</v>
      </c>
      <c r="AF68" s="14">
        <v>6.0</v>
      </c>
      <c r="AG68" s="14" t="s">
        <v>163</v>
      </c>
      <c r="AH68" s="14" t="s">
        <v>163</v>
      </c>
      <c r="AI68" s="14">
        <v>50.0</v>
      </c>
      <c r="AJ68" s="14">
        <v>50.0</v>
      </c>
      <c r="AK68" s="8" t="s">
        <v>46</v>
      </c>
      <c r="AL68" s="9" t="s">
        <v>318</v>
      </c>
      <c r="AM68" s="9" t="s">
        <v>319</v>
      </c>
      <c r="AN68" s="9" t="s">
        <v>320</v>
      </c>
      <c r="AO68" s="9" t="s">
        <v>312</v>
      </c>
      <c r="AP68" s="11"/>
      <c r="AQ68" s="11"/>
      <c r="AR68" s="11"/>
      <c r="AS68" s="11"/>
      <c r="AT68" s="11"/>
      <c r="AU68" s="11"/>
      <c r="AV68" s="11"/>
      <c r="AW68" s="11"/>
      <c r="AX68" s="11"/>
      <c r="AY68" s="11"/>
      <c r="AZ68" s="11"/>
    </row>
    <row r="69" ht="15.75" customHeight="1">
      <c r="A69" s="12">
        <v>45176.0</v>
      </c>
      <c r="B69" s="13">
        <v>0.4479166666666667</v>
      </c>
      <c r="C69" s="14">
        <v>7.0</v>
      </c>
      <c r="D69" s="15" t="s">
        <v>42</v>
      </c>
      <c r="E69" s="15" t="s">
        <v>66</v>
      </c>
      <c r="F69" s="15" t="s">
        <v>317</v>
      </c>
      <c r="G69" s="15" t="s">
        <v>43</v>
      </c>
      <c r="H69" s="15" t="s">
        <v>43</v>
      </c>
      <c r="I69" s="15" t="s">
        <v>42</v>
      </c>
      <c r="J69" s="14" t="s">
        <v>44</v>
      </c>
      <c r="K69" s="14" t="s">
        <v>68</v>
      </c>
      <c r="L69" s="14" t="s">
        <v>321</v>
      </c>
      <c r="M69" s="14" t="s">
        <v>47</v>
      </c>
      <c r="N69" s="14" t="s">
        <v>47</v>
      </c>
      <c r="O69" s="14" t="s">
        <v>48</v>
      </c>
      <c r="P69" s="14">
        <v>1.5</v>
      </c>
      <c r="Q69" s="16">
        <f t="shared" si="9"/>
        <v>1125</v>
      </c>
      <c r="R69" s="16">
        <v>1125.0</v>
      </c>
      <c r="S69" s="14">
        <v>1000.0</v>
      </c>
      <c r="T69" s="14">
        <v>10.0</v>
      </c>
      <c r="U69" s="14">
        <v>18.0</v>
      </c>
      <c r="V69" s="14">
        <f t="shared" si="10"/>
        <v>0.16</v>
      </c>
      <c r="W69" s="14">
        <v>8.0</v>
      </c>
      <c r="X69" s="14" t="s">
        <v>46</v>
      </c>
      <c r="Y69" s="16">
        <v>315.0</v>
      </c>
      <c r="Z69" s="16">
        <v>371.25</v>
      </c>
      <c r="AA69" s="16">
        <v>123.75</v>
      </c>
      <c r="AB69" s="16">
        <v>247.5</v>
      </c>
      <c r="AC69" s="16">
        <v>0.0</v>
      </c>
      <c r="AD69" s="16">
        <v>67.5</v>
      </c>
      <c r="AE69" s="16">
        <v>0.0</v>
      </c>
      <c r="AF69" s="14">
        <v>6.0</v>
      </c>
      <c r="AG69" s="14" t="s">
        <v>163</v>
      </c>
      <c r="AH69" s="14" t="s">
        <v>163</v>
      </c>
      <c r="AI69" s="14">
        <v>50.0</v>
      </c>
      <c r="AJ69" s="14">
        <v>50.0</v>
      </c>
      <c r="AK69" s="8" t="s">
        <v>46</v>
      </c>
      <c r="AL69" s="9" t="s">
        <v>322</v>
      </c>
      <c r="AM69" s="9" t="s">
        <v>323</v>
      </c>
      <c r="AN69" s="9" t="s">
        <v>324</v>
      </c>
      <c r="AO69" s="9" t="s">
        <v>325</v>
      </c>
      <c r="AP69" s="11"/>
      <c r="AQ69" s="11"/>
      <c r="AR69" s="11"/>
      <c r="AS69" s="11"/>
      <c r="AT69" s="11"/>
      <c r="AU69" s="11"/>
      <c r="AV69" s="11"/>
      <c r="AW69" s="11"/>
      <c r="AX69" s="11"/>
      <c r="AY69" s="11"/>
      <c r="AZ69" s="11"/>
    </row>
    <row r="70" ht="15.75" customHeight="1">
      <c r="A70" s="12">
        <v>45190.0</v>
      </c>
      <c r="B70" s="13">
        <v>0.4583333333333333</v>
      </c>
      <c r="C70" s="14">
        <v>7.7</v>
      </c>
      <c r="D70" s="15" t="s">
        <v>42</v>
      </c>
      <c r="E70" s="15" t="s">
        <v>134</v>
      </c>
      <c r="F70" s="15" t="s">
        <v>134</v>
      </c>
      <c r="G70" s="15" t="s">
        <v>79</v>
      </c>
      <c r="H70" s="15" t="s">
        <v>76</v>
      </c>
      <c r="I70" s="15" t="s">
        <v>297</v>
      </c>
      <c r="J70" s="14" t="s">
        <v>60</v>
      </c>
      <c r="K70" s="14" t="s">
        <v>45</v>
      </c>
      <c r="L70" s="14" t="s">
        <v>46</v>
      </c>
      <c r="M70" s="14" t="s">
        <v>47</v>
      </c>
      <c r="N70" s="14" t="s">
        <v>47</v>
      </c>
      <c r="O70" s="14" t="s">
        <v>48</v>
      </c>
      <c r="P70" s="14">
        <v>1.5</v>
      </c>
      <c r="Q70" s="16">
        <f t="shared" si="9"/>
        <v>650</v>
      </c>
      <c r="R70" s="16">
        <v>598.0</v>
      </c>
      <c r="S70" s="14">
        <v>1000.0</v>
      </c>
      <c r="T70" s="14">
        <v>10.0</v>
      </c>
      <c r="U70" s="14">
        <v>13.0</v>
      </c>
      <c r="V70" s="14">
        <f t="shared" si="10"/>
        <v>0.2</v>
      </c>
      <c r="W70" s="14">
        <v>10.0</v>
      </c>
      <c r="X70" s="14" t="s">
        <v>46</v>
      </c>
      <c r="Y70" s="16">
        <v>351.0</v>
      </c>
      <c r="Z70" s="16">
        <v>143.0</v>
      </c>
      <c r="AA70" s="16">
        <v>52.0</v>
      </c>
      <c r="AB70" s="16">
        <v>0.0</v>
      </c>
      <c r="AC70" s="16">
        <v>52.0</v>
      </c>
      <c r="AD70" s="16">
        <v>0.0</v>
      </c>
      <c r="AE70" s="16">
        <v>52.0</v>
      </c>
      <c r="AF70" s="14">
        <v>6.0</v>
      </c>
      <c r="AG70" s="14" t="s">
        <v>163</v>
      </c>
      <c r="AH70" s="14" t="s">
        <v>163</v>
      </c>
      <c r="AI70" s="14">
        <v>50.0</v>
      </c>
      <c r="AJ70" s="14">
        <v>50.0</v>
      </c>
      <c r="AK70" s="8" t="s">
        <v>46</v>
      </c>
      <c r="AL70" s="9" t="s">
        <v>326</v>
      </c>
      <c r="AM70" s="9" t="s">
        <v>47</v>
      </c>
      <c r="AN70" s="9" t="s">
        <v>327</v>
      </c>
      <c r="AO70" s="9" t="s">
        <v>328</v>
      </c>
      <c r="AP70" s="11"/>
      <c r="AQ70" s="11"/>
      <c r="AR70" s="11"/>
      <c r="AS70" s="11"/>
      <c r="AT70" s="11"/>
      <c r="AU70" s="11"/>
      <c r="AV70" s="11"/>
      <c r="AW70" s="11"/>
      <c r="AX70" s="11"/>
      <c r="AY70" s="11"/>
      <c r="AZ70" s="11"/>
    </row>
    <row r="71" ht="15.75" customHeight="1">
      <c r="A71" s="12">
        <v>45205.0</v>
      </c>
      <c r="B71" s="13">
        <v>0.4791666666666667</v>
      </c>
      <c r="C71" s="14">
        <v>7.7</v>
      </c>
      <c r="D71" s="15" t="s">
        <v>42</v>
      </c>
      <c r="E71" s="15" t="s">
        <v>317</v>
      </c>
      <c r="F71" s="15" t="s">
        <v>317</v>
      </c>
      <c r="G71" s="15" t="s">
        <v>43</v>
      </c>
      <c r="H71" s="15" t="s">
        <v>43</v>
      </c>
      <c r="I71" s="15" t="s">
        <v>317</v>
      </c>
      <c r="J71" s="14" t="s">
        <v>60</v>
      </c>
      <c r="K71" s="14" t="s">
        <v>45</v>
      </c>
      <c r="L71" s="14" t="s">
        <v>46</v>
      </c>
      <c r="M71" s="14" t="s">
        <v>47</v>
      </c>
      <c r="N71" s="14" t="s">
        <v>47</v>
      </c>
      <c r="O71" s="14" t="s">
        <v>48</v>
      </c>
      <c r="P71" s="14">
        <v>1.5</v>
      </c>
      <c r="Q71" s="16">
        <f t="shared" si="9"/>
        <v>450</v>
      </c>
      <c r="R71" s="16">
        <v>450.0</v>
      </c>
      <c r="S71" s="14">
        <v>1000.0</v>
      </c>
      <c r="T71" s="14">
        <v>10.0</v>
      </c>
      <c r="U71" s="14">
        <v>9.0</v>
      </c>
      <c r="V71" s="14">
        <f t="shared" si="10"/>
        <v>0.2</v>
      </c>
      <c r="W71" s="14">
        <v>10.0</v>
      </c>
      <c r="X71" s="14" t="s">
        <v>46</v>
      </c>
      <c r="Y71" s="16">
        <v>252.0</v>
      </c>
      <c r="Z71" s="16">
        <v>148.5</v>
      </c>
      <c r="AA71" s="16">
        <v>49.5</v>
      </c>
      <c r="AB71" s="16">
        <v>0.0</v>
      </c>
      <c r="AC71" s="16">
        <v>0.0</v>
      </c>
      <c r="AD71" s="16">
        <v>0.0</v>
      </c>
      <c r="AE71" s="16">
        <v>0.0</v>
      </c>
      <c r="AF71" s="14">
        <v>6.0</v>
      </c>
      <c r="AG71" s="14" t="s">
        <v>163</v>
      </c>
      <c r="AH71" s="14" t="s">
        <v>163</v>
      </c>
      <c r="AI71" s="14">
        <v>50.0</v>
      </c>
      <c r="AJ71" s="14">
        <v>50.0</v>
      </c>
      <c r="AK71" s="8" t="s">
        <v>46</v>
      </c>
      <c r="AL71" s="9" t="s">
        <v>329</v>
      </c>
      <c r="AM71" s="9" t="s">
        <v>330</v>
      </c>
      <c r="AN71" s="9" t="s">
        <v>331</v>
      </c>
      <c r="AO71" s="9" t="s">
        <v>332</v>
      </c>
      <c r="AP71" s="11"/>
      <c r="AQ71" s="11"/>
      <c r="AR71" s="11"/>
      <c r="AS71" s="11"/>
      <c r="AT71" s="11"/>
      <c r="AU71" s="11"/>
      <c r="AV71" s="11"/>
      <c r="AW71" s="11"/>
      <c r="AX71" s="11"/>
      <c r="AY71" s="11"/>
      <c r="AZ71" s="11"/>
    </row>
    <row r="72" ht="15.75" customHeight="1">
      <c r="A72" s="12"/>
      <c r="B72" s="13"/>
      <c r="C72" s="14"/>
      <c r="D72" s="15"/>
      <c r="E72" s="15"/>
      <c r="F72" s="15"/>
      <c r="G72" s="15"/>
      <c r="H72" s="15"/>
      <c r="I72" s="15"/>
      <c r="J72" s="14"/>
      <c r="K72" s="14"/>
      <c r="L72" s="14"/>
      <c r="M72" s="14"/>
      <c r="N72" s="14"/>
      <c r="O72" s="14"/>
      <c r="P72" s="14"/>
      <c r="Q72" s="14"/>
      <c r="R72" s="14"/>
      <c r="S72" s="16"/>
      <c r="T72" s="14"/>
      <c r="U72" s="14"/>
      <c r="V72" s="14"/>
      <c r="W72" s="14"/>
      <c r="X72" s="14"/>
      <c r="Y72" s="14"/>
      <c r="Z72" s="14"/>
      <c r="AA72" s="14"/>
      <c r="AB72" s="14"/>
      <c r="AC72" s="14"/>
      <c r="AD72" s="14"/>
      <c r="AE72" s="14"/>
      <c r="AF72" s="14"/>
      <c r="AG72" s="14"/>
      <c r="AH72" s="14"/>
      <c r="AI72" s="14"/>
      <c r="AJ72" s="14"/>
      <c r="AK72" s="8"/>
      <c r="AL72" s="9"/>
      <c r="AM72" s="9"/>
      <c r="AN72" s="11"/>
      <c r="AO72" s="11"/>
      <c r="AP72" s="11"/>
      <c r="AQ72" s="11"/>
      <c r="AR72" s="11"/>
      <c r="AS72" s="11"/>
      <c r="AT72" s="11"/>
      <c r="AU72" s="11"/>
      <c r="AV72" s="11"/>
      <c r="AW72" s="11"/>
      <c r="AX72" s="11"/>
      <c r="AY72" s="11"/>
      <c r="AZ72" s="11"/>
    </row>
    <row r="73" ht="15.75" customHeight="1">
      <c r="A73" s="12"/>
      <c r="B73" s="13"/>
      <c r="C73" s="14"/>
      <c r="D73" s="15"/>
      <c r="E73" s="15"/>
      <c r="F73" s="15"/>
      <c r="G73" s="15"/>
      <c r="H73" s="15"/>
      <c r="I73" s="15"/>
      <c r="J73" s="14"/>
      <c r="K73" s="14"/>
      <c r="L73" s="14"/>
      <c r="M73" s="14"/>
      <c r="N73" s="14"/>
      <c r="O73" s="14"/>
      <c r="P73" s="14"/>
      <c r="Q73" s="14"/>
      <c r="R73" s="14"/>
      <c r="S73" s="16"/>
      <c r="T73" s="14"/>
      <c r="U73" s="14"/>
      <c r="V73" s="14"/>
      <c r="W73" s="14"/>
      <c r="X73" s="14"/>
      <c r="Y73" s="14"/>
      <c r="Z73" s="14"/>
      <c r="AA73" s="14"/>
      <c r="AB73" s="14"/>
      <c r="AC73" s="14"/>
      <c r="AD73" s="14"/>
      <c r="AE73" s="14"/>
      <c r="AF73" s="14"/>
      <c r="AG73" s="14"/>
      <c r="AH73" s="14"/>
      <c r="AI73" s="14"/>
      <c r="AJ73" s="14"/>
      <c r="AK73" s="8"/>
      <c r="AL73" s="9"/>
      <c r="AM73" s="9"/>
      <c r="AN73" s="11"/>
      <c r="AO73" s="11"/>
      <c r="AP73" s="11"/>
      <c r="AQ73" s="11"/>
      <c r="AR73" s="11"/>
      <c r="AS73" s="11"/>
      <c r="AT73" s="11"/>
      <c r="AU73" s="11"/>
      <c r="AV73" s="11"/>
      <c r="AW73" s="11"/>
      <c r="AX73" s="11"/>
      <c r="AY73" s="11"/>
      <c r="AZ73" s="11"/>
    </row>
    <row r="74" ht="15.75" customHeight="1">
      <c r="A74" s="12"/>
      <c r="B74" s="13"/>
      <c r="C74" s="14"/>
      <c r="D74" s="15"/>
      <c r="E74" s="15"/>
      <c r="F74" s="15"/>
      <c r="G74" s="15"/>
      <c r="H74" s="15"/>
      <c r="I74" s="15"/>
      <c r="J74" s="14"/>
      <c r="K74" s="14"/>
      <c r="L74" s="14"/>
      <c r="M74" s="14"/>
      <c r="N74" s="14"/>
      <c r="O74" s="14"/>
      <c r="P74" s="14"/>
      <c r="Q74" s="14"/>
      <c r="R74" s="14"/>
      <c r="S74" s="16"/>
      <c r="T74" s="14"/>
      <c r="U74" s="14"/>
      <c r="V74" s="14"/>
      <c r="W74" s="14"/>
      <c r="X74" s="14"/>
      <c r="Y74" s="14"/>
      <c r="Z74" s="14"/>
      <c r="AA74" s="14"/>
      <c r="AB74" s="14"/>
      <c r="AC74" s="14"/>
      <c r="AD74" s="14"/>
      <c r="AE74" s="14"/>
      <c r="AF74" s="14"/>
      <c r="AG74" s="14"/>
      <c r="AH74" s="14"/>
      <c r="AI74" s="14"/>
      <c r="AJ74" s="14"/>
      <c r="AK74" s="8"/>
      <c r="AL74" s="9"/>
      <c r="AM74" s="9"/>
      <c r="AN74" s="11"/>
      <c r="AO74" s="11"/>
      <c r="AP74" s="11"/>
      <c r="AQ74" s="11"/>
      <c r="AR74" s="11"/>
      <c r="AS74" s="11"/>
      <c r="AT74" s="11"/>
      <c r="AU74" s="11"/>
      <c r="AV74" s="11"/>
      <c r="AW74" s="11"/>
      <c r="AX74" s="11"/>
      <c r="AY74" s="11"/>
      <c r="AZ74" s="11"/>
    </row>
    <row r="75" ht="15.75" customHeight="1">
      <c r="A75" s="12"/>
      <c r="B75" s="13"/>
      <c r="C75" s="14"/>
      <c r="D75" s="15"/>
      <c r="E75" s="15"/>
      <c r="F75" s="15"/>
      <c r="G75" s="15"/>
      <c r="H75" s="15"/>
      <c r="I75" s="15"/>
      <c r="J75" s="14"/>
      <c r="K75" s="14"/>
      <c r="L75" s="14"/>
      <c r="M75" s="14"/>
      <c r="N75" s="14"/>
      <c r="O75" s="14"/>
      <c r="P75" s="14"/>
      <c r="Q75" s="14"/>
      <c r="R75" s="14"/>
      <c r="S75" s="16"/>
      <c r="T75" s="14"/>
      <c r="U75" s="14"/>
      <c r="V75" s="14"/>
      <c r="W75" s="14"/>
      <c r="X75" s="14"/>
      <c r="Y75" s="14"/>
      <c r="Z75" s="14"/>
      <c r="AA75" s="14"/>
      <c r="AB75" s="14"/>
      <c r="AC75" s="14"/>
      <c r="AD75" s="14"/>
      <c r="AE75" s="14"/>
      <c r="AF75" s="14"/>
      <c r="AG75" s="14"/>
      <c r="AH75" s="14"/>
      <c r="AI75" s="14"/>
      <c r="AJ75" s="14"/>
      <c r="AK75" s="8"/>
      <c r="AL75" s="9"/>
      <c r="AM75" s="9"/>
      <c r="AN75" s="11"/>
      <c r="AO75" s="11"/>
      <c r="AP75" s="11"/>
      <c r="AQ75" s="11"/>
      <c r="AR75" s="11"/>
      <c r="AS75" s="11"/>
      <c r="AT75" s="11"/>
      <c r="AU75" s="11"/>
      <c r="AV75" s="11"/>
      <c r="AW75" s="11"/>
      <c r="AX75" s="11"/>
      <c r="AY75" s="11"/>
      <c r="AZ75" s="11"/>
    </row>
    <row r="76" ht="15.75" customHeight="1">
      <c r="A76" s="12"/>
      <c r="B76" s="13"/>
      <c r="C76" s="14"/>
      <c r="D76" s="15"/>
      <c r="E76" s="15"/>
      <c r="F76" s="15"/>
      <c r="G76" s="15"/>
      <c r="H76" s="15"/>
      <c r="I76" s="15"/>
      <c r="J76" s="14"/>
      <c r="K76" s="14"/>
      <c r="L76" s="14"/>
      <c r="M76" s="14"/>
      <c r="N76" s="14"/>
      <c r="O76" s="14"/>
      <c r="P76" s="14"/>
      <c r="Q76" s="14"/>
      <c r="R76" s="14"/>
      <c r="S76" s="16"/>
      <c r="T76" s="14"/>
      <c r="U76" s="14"/>
      <c r="V76" s="14"/>
      <c r="W76" s="14"/>
      <c r="X76" s="14"/>
      <c r="Y76" s="14"/>
      <c r="Z76" s="14"/>
      <c r="AA76" s="14"/>
      <c r="AB76" s="14"/>
      <c r="AC76" s="14"/>
      <c r="AD76" s="14"/>
      <c r="AE76" s="14"/>
      <c r="AF76" s="14"/>
      <c r="AG76" s="14"/>
      <c r="AH76" s="14"/>
      <c r="AI76" s="14"/>
      <c r="AJ76" s="14"/>
      <c r="AK76" s="8"/>
      <c r="AL76" s="9"/>
      <c r="AM76" s="9"/>
      <c r="AN76" s="11"/>
      <c r="AO76" s="11"/>
      <c r="AP76" s="11"/>
      <c r="AQ76" s="11"/>
      <c r="AR76" s="11"/>
      <c r="AS76" s="11"/>
      <c r="AT76" s="11"/>
      <c r="AU76" s="11"/>
      <c r="AV76" s="11"/>
      <c r="AW76" s="11"/>
      <c r="AX76" s="11"/>
      <c r="AY76" s="11"/>
      <c r="AZ76" s="11"/>
    </row>
    <row r="77" ht="15.75" customHeight="1">
      <c r="A77" s="12"/>
      <c r="B77" s="13"/>
      <c r="C77" s="14"/>
      <c r="D77" s="15"/>
      <c r="E77" s="15"/>
      <c r="F77" s="15"/>
      <c r="G77" s="15"/>
      <c r="H77" s="15"/>
      <c r="I77" s="15"/>
      <c r="J77" s="14"/>
      <c r="K77" s="14"/>
      <c r="L77" s="14"/>
      <c r="M77" s="14"/>
      <c r="N77" s="14"/>
      <c r="O77" s="14"/>
      <c r="P77" s="14"/>
      <c r="Q77" s="14"/>
      <c r="R77" s="14"/>
      <c r="S77" s="16"/>
      <c r="T77" s="14"/>
      <c r="U77" s="14"/>
      <c r="V77" s="14"/>
      <c r="W77" s="14"/>
      <c r="X77" s="14"/>
      <c r="Y77" s="14"/>
      <c r="Z77" s="14"/>
      <c r="AA77" s="14"/>
      <c r="AB77" s="14"/>
      <c r="AC77" s="14"/>
      <c r="AD77" s="14"/>
      <c r="AE77" s="14"/>
      <c r="AF77" s="14"/>
      <c r="AG77" s="14"/>
      <c r="AH77" s="14"/>
      <c r="AI77" s="14"/>
      <c r="AJ77" s="14"/>
      <c r="AK77" s="8"/>
      <c r="AL77" s="9"/>
      <c r="AM77" s="9"/>
      <c r="AN77" s="11"/>
      <c r="AO77" s="11"/>
      <c r="AP77" s="11"/>
      <c r="AQ77" s="11"/>
      <c r="AR77" s="11"/>
      <c r="AS77" s="11"/>
      <c r="AT77" s="11"/>
      <c r="AU77" s="11"/>
      <c r="AV77" s="11"/>
      <c r="AW77" s="11"/>
      <c r="AX77" s="11"/>
      <c r="AY77" s="11"/>
      <c r="AZ77" s="11"/>
    </row>
    <row r="78" ht="15.75" customHeight="1">
      <c r="A78" s="12"/>
      <c r="B78" s="13"/>
      <c r="C78" s="14"/>
      <c r="D78" s="15"/>
      <c r="E78" s="15"/>
      <c r="F78" s="15"/>
      <c r="G78" s="15"/>
      <c r="H78" s="15"/>
      <c r="I78" s="15"/>
      <c r="J78" s="14"/>
      <c r="K78" s="14"/>
      <c r="L78" s="14"/>
      <c r="M78" s="14"/>
      <c r="N78" s="14"/>
      <c r="O78" s="14"/>
      <c r="P78" s="14"/>
      <c r="Q78" s="14"/>
      <c r="R78" s="14"/>
      <c r="S78" s="16"/>
      <c r="T78" s="14"/>
      <c r="U78" s="14"/>
      <c r="V78" s="14"/>
      <c r="W78" s="14"/>
      <c r="X78" s="14"/>
      <c r="Y78" s="14"/>
      <c r="Z78" s="14"/>
      <c r="AA78" s="14"/>
      <c r="AB78" s="14"/>
      <c r="AC78" s="14"/>
      <c r="AD78" s="14"/>
      <c r="AE78" s="14"/>
      <c r="AF78" s="14"/>
      <c r="AG78" s="14"/>
      <c r="AH78" s="14"/>
      <c r="AI78" s="14"/>
      <c r="AJ78" s="14"/>
      <c r="AK78" s="8"/>
      <c r="AL78" s="9"/>
      <c r="AM78" s="9"/>
      <c r="AN78" s="11"/>
      <c r="AO78" s="11"/>
      <c r="AP78" s="11"/>
      <c r="AQ78" s="11"/>
      <c r="AR78" s="11"/>
      <c r="AS78" s="11"/>
      <c r="AT78" s="11"/>
      <c r="AU78" s="11"/>
      <c r="AV78" s="11"/>
      <c r="AW78" s="11"/>
      <c r="AX78" s="11"/>
      <c r="AY78" s="11"/>
      <c r="AZ78" s="11"/>
    </row>
    <row r="79" ht="15.75" customHeight="1">
      <c r="A79" s="12"/>
      <c r="B79" s="13"/>
      <c r="C79" s="14"/>
      <c r="D79" s="15"/>
      <c r="E79" s="15"/>
      <c r="F79" s="15"/>
      <c r="G79" s="15"/>
      <c r="H79" s="15"/>
      <c r="I79" s="15"/>
      <c r="J79" s="14"/>
      <c r="K79" s="14"/>
      <c r="L79" s="14"/>
      <c r="M79" s="14"/>
      <c r="N79" s="14"/>
      <c r="O79" s="14"/>
      <c r="P79" s="14"/>
      <c r="Q79" s="14"/>
      <c r="R79" s="14"/>
      <c r="S79" s="16"/>
      <c r="T79" s="14"/>
      <c r="U79" s="14"/>
      <c r="V79" s="14"/>
      <c r="W79" s="14"/>
      <c r="X79" s="14"/>
      <c r="Y79" s="14"/>
      <c r="Z79" s="14"/>
      <c r="AA79" s="14"/>
      <c r="AB79" s="14"/>
      <c r="AC79" s="14"/>
      <c r="AD79" s="14"/>
      <c r="AE79" s="14"/>
      <c r="AF79" s="14"/>
      <c r="AG79" s="14"/>
      <c r="AH79" s="14"/>
      <c r="AI79" s="14"/>
      <c r="AJ79" s="14"/>
      <c r="AK79" s="8"/>
      <c r="AL79" s="9"/>
      <c r="AM79" s="9"/>
      <c r="AN79" s="11"/>
      <c r="AO79" s="11"/>
      <c r="AP79" s="11"/>
      <c r="AQ79" s="11"/>
      <c r="AR79" s="11"/>
      <c r="AS79" s="11"/>
      <c r="AT79" s="11"/>
      <c r="AU79" s="11"/>
      <c r="AV79" s="11"/>
      <c r="AW79" s="11"/>
      <c r="AX79" s="11"/>
      <c r="AY79" s="11"/>
      <c r="AZ79" s="11"/>
    </row>
    <row r="80" ht="15.75" customHeight="1">
      <c r="A80" s="12"/>
      <c r="B80" s="13"/>
      <c r="C80" s="14"/>
      <c r="D80" s="15"/>
      <c r="E80" s="15"/>
      <c r="F80" s="15"/>
      <c r="G80" s="15"/>
      <c r="H80" s="15"/>
      <c r="I80" s="15"/>
      <c r="J80" s="14"/>
      <c r="K80" s="14"/>
      <c r="L80" s="14"/>
      <c r="M80" s="14"/>
      <c r="N80" s="14"/>
      <c r="O80" s="14"/>
      <c r="P80" s="14"/>
      <c r="Q80" s="14"/>
      <c r="R80" s="14"/>
      <c r="S80" s="16"/>
      <c r="T80" s="14"/>
      <c r="U80" s="14"/>
      <c r="V80" s="14"/>
      <c r="W80" s="14"/>
      <c r="X80" s="14"/>
      <c r="Y80" s="14"/>
      <c r="Z80" s="14"/>
      <c r="AA80" s="14"/>
      <c r="AB80" s="14"/>
      <c r="AC80" s="14"/>
      <c r="AD80" s="14"/>
      <c r="AE80" s="14"/>
      <c r="AF80" s="14"/>
      <c r="AG80" s="14"/>
      <c r="AH80" s="14"/>
      <c r="AI80" s="14"/>
      <c r="AJ80" s="14"/>
      <c r="AK80" s="8"/>
      <c r="AL80" s="9"/>
      <c r="AM80" s="9"/>
      <c r="AN80" s="11"/>
      <c r="AO80" s="11"/>
      <c r="AP80" s="11"/>
      <c r="AQ80" s="11"/>
      <c r="AR80" s="11"/>
      <c r="AS80" s="11"/>
      <c r="AT80" s="11"/>
      <c r="AU80" s="11"/>
      <c r="AV80" s="11"/>
      <c r="AW80" s="11"/>
      <c r="AX80" s="11"/>
      <c r="AY80" s="11"/>
      <c r="AZ80" s="11"/>
    </row>
    <row r="81" ht="15.75" customHeight="1">
      <c r="A81" s="12"/>
      <c r="B81" s="13"/>
      <c r="C81" s="14"/>
      <c r="D81" s="15"/>
      <c r="E81" s="15"/>
      <c r="F81" s="15"/>
      <c r="G81" s="15"/>
      <c r="H81" s="15"/>
      <c r="I81" s="15"/>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8"/>
      <c r="AL81" s="9"/>
      <c r="AM81" s="9"/>
      <c r="AN81" s="11"/>
      <c r="AO81" s="11"/>
      <c r="AP81" s="11"/>
      <c r="AQ81" s="11"/>
      <c r="AR81" s="11"/>
      <c r="AS81" s="11"/>
      <c r="AT81" s="11"/>
      <c r="AU81" s="11"/>
      <c r="AV81" s="11"/>
      <c r="AW81" s="11"/>
      <c r="AX81" s="11"/>
      <c r="AY81" s="11"/>
      <c r="AZ81" s="11"/>
    </row>
    <row r="82" ht="15.75" customHeight="1">
      <c r="A82" s="12"/>
      <c r="B82" s="13"/>
      <c r="C82" s="14"/>
      <c r="D82" s="15"/>
      <c r="E82" s="15"/>
      <c r="F82" s="15"/>
      <c r="G82" s="15"/>
      <c r="H82" s="15"/>
      <c r="I82" s="15"/>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8"/>
      <c r="AL82" s="9"/>
      <c r="AM82" s="9"/>
      <c r="AN82" s="11"/>
      <c r="AO82" s="11"/>
      <c r="AP82" s="11"/>
      <c r="AQ82" s="11"/>
      <c r="AR82" s="11"/>
      <c r="AS82" s="11"/>
      <c r="AT82" s="11"/>
      <c r="AU82" s="11"/>
      <c r="AV82" s="11"/>
      <c r="AW82" s="11"/>
      <c r="AX82" s="11"/>
      <c r="AY82" s="11"/>
      <c r="AZ82" s="11"/>
    </row>
    <row r="83" ht="15.75" customHeight="1">
      <c r="A83" s="12"/>
      <c r="B83" s="13"/>
      <c r="C83" s="14"/>
      <c r="D83" s="15"/>
      <c r="E83" s="15"/>
      <c r="F83" s="15"/>
      <c r="G83" s="15"/>
      <c r="H83" s="15"/>
      <c r="I83" s="15"/>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8"/>
      <c r="AL83" s="9"/>
      <c r="AM83" s="9"/>
      <c r="AN83" s="11"/>
      <c r="AO83" s="11"/>
      <c r="AP83" s="11"/>
      <c r="AQ83" s="11"/>
      <c r="AR83" s="11"/>
      <c r="AS83" s="11"/>
      <c r="AT83" s="11"/>
      <c r="AU83" s="11"/>
      <c r="AV83" s="11"/>
      <c r="AW83" s="11"/>
      <c r="AX83" s="11"/>
      <c r="AY83" s="11"/>
      <c r="AZ83" s="11"/>
    </row>
    <row r="84" ht="15.75" customHeight="1">
      <c r="A84" s="12"/>
      <c r="B84" s="13"/>
      <c r="C84" s="14"/>
      <c r="D84" s="15"/>
      <c r="E84" s="15"/>
      <c r="F84" s="15"/>
      <c r="G84" s="15"/>
      <c r="H84" s="15"/>
      <c r="I84" s="15"/>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8"/>
      <c r="AL84" s="9"/>
      <c r="AM84" s="9"/>
      <c r="AN84" s="11"/>
      <c r="AO84" s="11"/>
      <c r="AP84" s="11"/>
      <c r="AQ84" s="11"/>
      <c r="AR84" s="11"/>
      <c r="AS84" s="11"/>
      <c r="AT84" s="11"/>
      <c r="AU84" s="11"/>
      <c r="AV84" s="11"/>
      <c r="AW84" s="11"/>
      <c r="AX84" s="11"/>
      <c r="AY84" s="11"/>
      <c r="AZ84" s="11"/>
    </row>
    <row r="85" ht="15.75" customHeight="1">
      <c r="A85" s="12"/>
      <c r="B85" s="13"/>
      <c r="C85" s="14"/>
      <c r="D85" s="15"/>
      <c r="E85" s="15"/>
      <c r="F85" s="15"/>
      <c r="G85" s="15"/>
      <c r="H85" s="15"/>
      <c r="I85" s="15"/>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8"/>
      <c r="AL85" s="9"/>
      <c r="AM85" s="9"/>
      <c r="AN85" s="11"/>
      <c r="AO85" s="11"/>
      <c r="AP85" s="11"/>
      <c r="AQ85" s="11"/>
      <c r="AR85" s="11"/>
      <c r="AS85" s="11"/>
      <c r="AT85" s="11"/>
      <c r="AU85" s="11"/>
      <c r="AV85" s="11"/>
      <c r="AW85" s="11"/>
      <c r="AX85" s="11"/>
      <c r="AY85" s="11"/>
      <c r="AZ85" s="11"/>
    </row>
    <row r="86" ht="15.75" customHeight="1">
      <c r="A86" s="12"/>
      <c r="B86" s="13"/>
      <c r="C86" s="14"/>
      <c r="D86" s="15"/>
      <c r="E86" s="15"/>
      <c r="F86" s="15"/>
      <c r="G86" s="15"/>
      <c r="H86" s="15"/>
      <c r="I86" s="15"/>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8"/>
      <c r="AL86" s="9"/>
      <c r="AM86" s="9"/>
      <c r="AN86" s="11"/>
      <c r="AO86" s="11"/>
      <c r="AP86" s="11"/>
      <c r="AQ86" s="11"/>
      <c r="AR86" s="11"/>
      <c r="AS86" s="11"/>
      <c r="AT86" s="11"/>
      <c r="AU86" s="11"/>
      <c r="AV86" s="11"/>
      <c r="AW86" s="11"/>
      <c r="AX86" s="11"/>
      <c r="AY86" s="11"/>
      <c r="AZ86" s="11"/>
    </row>
    <row r="87" ht="15.75" customHeight="1">
      <c r="A87" s="12"/>
      <c r="B87" s="13"/>
      <c r="C87" s="14"/>
      <c r="D87" s="15"/>
      <c r="E87" s="15"/>
      <c r="F87" s="15"/>
      <c r="G87" s="15"/>
      <c r="H87" s="15"/>
      <c r="I87" s="15"/>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8"/>
      <c r="AL87" s="9"/>
      <c r="AM87" s="9"/>
      <c r="AN87" s="11"/>
      <c r="AO87" s="11"/>
      <c r="AP87" s="11"/>
      <c r="AQ87" s="11"/>
      <c r="AR87" s="11"/>
      <c r="AS87" s="11"/>
      <c r="AT87" s="11"/>
      <c r="AU87" s="11"/>
      <c r="AV87" s="11"/>
      <c r="AW87" s="11"/>
      <c r="AX87" s="11"/>
      <c r="AY87" s="11"/>
      <c r="AZ87" s="11"/>
    </row>
    <row r="88" ht="15.75" customHeight="1">
      <c r="A88" s="12"/>
      <c r="B88" s="13"/>
      <c r="C88" s="14"/>
      <c r="D88" s="15"/>
      <c r="E88" s="15"/>
      <c r="F88" s="15"/>
      <c r="G88" s="15"/>
      <c r="H88" s="15"/>
      <c r="I88" s="15"/>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8"/>
      <c r="AL88" s="9"/>
      <c r="AM88" s="9"/>
      <c r="AN88" s="11"/>
      <c r="AO88" s="11"/>
      <c r="AP88" s="11"/>
      <c r="AQ88" s="11"/>
      <c r="AR88" s="11"/>
      <c r="AS88" s="11"/>
      <c r="AT88" s="11"/>
      <c r="AU88" s="11"/>
      <c r="AV88" s="11"/>
      <c r="AW88" s="11"/>
      <c r="AX88" s="11"/>
      <c r="AY88" s="11"/>
      <c r="AZ88" s="11"/>
    </row>
    <row r="89" ht="15.75" customHeight="1">
      <c r="A89" s="12"/>
      <c r="B89" s="13"/>
      <c r="C89" s="14"/>
      <c r="D89" s="15"/>
      <c r="E89" s="15"/>
      <c r="F89" s="15"/>
      <c r="G89" s="15"/>
      <c r="H89" s="15"/>
      <c r="I89" s="15"/>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8"/>
      <c r="AL89" s="9"/>
      <c r="AM89" s="9"/>
      <c r="AN89" s="11"/>
      <c r="AO89" s="11"/>
      <c r="AP89" s="11"/>
      <c r="AQ89" s="11"/>
      <c r="AR89" s="11"/>
      <c r="AS89" s="11"/>
      <c r="AT89" s="11"/>
      <c r="AU89" s="11"/>
      <c r="AV89" s="11"/>
      <c r="AW89" s="11"/>
      <c r="AX89" s="11"/>
      <c r="AY89" s="11"/>
      <c r="AZ89" s="11"/>
    </row>
    <row r="90" ht="15.75" customHeight="1">
      <c r="A90" s="12"/>
      <c r="B90" s="13"/>
      <c r="C90" s="14"/>
      <c r="D90" s="15"/>
      <c r="E90" s="15"/>
      <c r="F90" s="15"/>
      <c r="G90" s="15"/>
      <c r="H90" s="15"/>
      <c r="I90" s="15"/>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8"/>
      <c r="AL90" s="9"/>
      <c r="AM90" s="9"/>
      <c r="AN90" s="11"/>
      <c r="AO90" s="11"/>
      <c r="AP90" s="11"/>
      <c r="AQ90" s="11"/>
      <c r="AR90" s="11"/>
      <c r="AS90" s="11"/>
      <c r="AT90" s="11"/>
      <c r="AU90" s="11"/>
      <c r="AV90" s="11"/>
      <c r="AW90" s="11"/>
      <c r="AX90" s="11"/>
      <c r="AY90" s="11"/>
      <c r="AZ90" s="11"/>
    </row>
    <row r="91" ht="15.75" customHeight="1">
      <c r="A91" s="12"/>
      <c r="B91" s="13"/>
      <c r="C91" s="14"/>
      <c r="D91" s="15"/>
      <c r="E91" s="15"/>
      <c r="F91" s="15"/>
      <c r="G91" s="15"/>
      <c r="H91" s="15"/>
      <c r="I91" s="15"/>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8"/>
      <c r="AL91" s="9"/>
      <c r="AM91" s="9"/>
      <c r="AN91" s="11"/>
      <c r="AO91" s="11"/>
      <c r="AP91" s="11"/>
      <c r="AQ91" s="11"/>
      <c r="AR91" s="11"/>
      <c r="AS91" s="11"/>
      <c r="AT91" s="11"/>
      <c r="AU91" s="11"/>
      <c r="AV91" s="11"/>
      <c r="AW91" s="11"/>
      <c r="AX91" s="11"/>
      <c r="AY91" s="11"/>
      <c r="AZ91" s="11"/>
    </row>
    <row r="92" ht="15.75" customHeight="1">
      <c r="A92" s="12"/>
      <c r="B92" s="13"/>
      <c r="C92" s="14"/>
      <c r="D92" s="15"/>
      <c r="E92" s="15"/>
      <c r="F92" s="15"/>
      <c r="G92" s="15"/>
      <c r="H92" s="15"/>
      <c r="I92" s="15"/>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8"/>
      <c r="AL92" s="9"/>
      <c r="AM92" s="9"/>
      <c r="AN92" s="11"/>
      <c r="AO92" s="11"/>
      <c r="AP92" s="11"/>
      <c r="AQ92" s="11"/>
      <c r="AR92" s="11"/>
      <c r="AS92" s="11"/>
      <c r="AT92" s="11"/>
      <c r="AU92" s="11"/>
      <c r="AV92" s="11"/>
      <c r="AW92" s="11"/>
      <c r="AX92" s="11"/>
      <c r="AY92" s="11"/>
      <c r="AZ92" s="11"/>
    </row>
    <row r="93" ht="15.75" customHeight="1">
      <c r="A93" s="12"/>
      <c r="B93" s="13"/>
      <c r="C93" s="14"/>
      <c r="D93" s="15"/>
      <c r="E93" s="15"/>
      <c r="F93" s="15"/>
      <c r="G93" s="15"/>
      <c r="H93" s="15"/>
      <c r="I93" s="15"/>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8"/>
      <c r="AL93" s="9"/>
      <c r="AM93" s="9"/>
      <c r="AN93" s="11"/>
      <c r="AO93" s="11"/>
      <c r="AP93" s="11"/>
      <c r="AQ93" s="11"/>
      <c r="AR93" s="11"/>
      <c r="AS93" s="11"/>
      <c r="AT93" s="11"/>
      <c r="AU93" s="11"/>
      <c r="AV93" s="11"/>
      <c r="AW93" s="11"/>
      <c r="AX93" s="11"/>
      <c r="AY93" s="11"/>
      <c r="AZ93" s="11"/>
    </row>
    <row r="94" ht="15.75" customHeight="1">
      <c r="A94" s="12"/>
      <c r="B94" s="13"/>
      <c r="C94" s="14"/>
      <c r="D94" s="15"/>
      <c r="E94" s="15"/>
      <c r="F94" s="15"/>
      <c r="G94" s="15"/>
      <c r="H94" s="15"/>
      <c r="I94" s="15"/>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8"/>
      <c r="AL94" s="9"/>
      <c r="AM94" s="9"/>
      <c r="AN94" s="11"/>
      <c r="AO94" s="11"/>
      <c r="AP94" s="11"/>
      <c r="AQ94" s="11"/>
      <c r="AR94" s="11"/>
      <c r="AS94" s="11"/>
      <c r="AT94" s="11"/>
      <c r="AU94" s="11"/>
      <c r="AV94" s="11"/>
      <c r="AW94" s="11"/>
      <c r="AX94" s="11"/>
      <c r="AY94" s="11"/>
      <c r="AZ94" s="11"/>
    </row>
    <row r="95" ht="15.75" customHeight="1">
      <c r="A95" s="12"/>
      <c r="B95" s="13"/>
      <c r="C95" s="14"/>
      <c r="D95" s="15"/>
      <c r="E95" s="15"/>
      <c r="F95" s="15"/>
      <c r="G95" s="15"/>
      <c r="H95" s="15"/>
      <c r="I95" s="15"/>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8"/>
      <c r="AL95" s="9"/>
      <c r="AM95" s="9"/>
      <c r="AN95" s="11"/>
      <c r="AO95" s="11"/>
      <c r="AP95" s="11"/>
      <c r="AQ95" s="11"/>
      <c r="AR95" s="11"/>
      <c r="AS95" s="11"/>
      <c r="AT95" s="11"/>
      <c r="AU95" s="11"/>
      <c r="AV95" s="11"/>
      <c r="AW95" s="11"/>
      <c r="AX95" s="11"/>
      <c r="AY95" s="11"/>
      <c r="AZ95" s="11"/>
    </row>
    <row r="96" ht="15.75" customHeight="1">
      <c r="A96" s="12"/>
      <c r="B96" s="13"/>
      <c r="C96" s="14"/>
      <c r="D96" s="15"/>
      <c r="E96" s="15"/>
      <c r="F96" s="15"/>
      <c r="G96" s="15"/>
      <c r="H96" s="15"/>
      <c r="I96" s="15"/>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8"/>
      <c r="AL96" s="9"/>
      <c r="AM96" s="9"/>
      <c r="AN96" s="11"/>
      <c r="AO96" s="11"/>
      <c r="AP96" s="11"/>
      <c r="AQ96" s="11"/>
      <c r="AR96" s="11"/>
      <c r="AS96" s="11"/>
      <c r="AT96" s="11"/>
      <c r="AU96" s="11"/>
      <c r="AV96" s="11"/>
      <c r="AW96" s="11"/>
      <c r="AX96" s="11"/>
      <c r="AY96" s="11"/>
      <c r="AZ96" s="11"/>
    </row>
    <row r="97" ht="15.75" customHeight="1">
      <c r="A97" s="12"/>
      <c r="B97" s="13"/>
      <c r="C97" s="14"/>
      <c r="D97" s="15"/>
      <c r="E97" s="15"/>
      <c r="F97" s="15"/>
      <c r="G97" s="15"/>
      <c r="H97" s="15"/>
      <c r="I97" s="15"/>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8"/>
      <c r="AL97" s="9"/>
      <c r="AM97" s="9"/>
      <c r="AN97" s="11"/>
      <c r="AO97" s="11"/>
      <c r="AP97" s="11"/>
      <c r="AQ97" s="11"/>
      <c r="AR97" s="11"/>
      <c r="AS97" s="11"/>
      <c r="AT97" s="11"/>
      <c r="AU97" s="11"/>
      <c r="AV97" s="11"/>
      <c r="AW97" s="11"/>
      <c r="AX97" s="11"/>
      <c r="AY97" s="11"/>
      <c r="AZ97" s="11"/>
    </row>
    <row r="98" ht="15.75" customHeight="1">
      <c r="A98" s="12"/>
      <c r="B98" s="13"/>
      <c r="C98" s="14"/>
      <c r="D98" s="15"/>
      <c r="E98" s="15"/>
      <c r="F98" s="15"/>
      <c r="G98" s="15"/>
      <c r="H98" s="15"/>
      <c r="I98" s="15"/>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8"/>
      <c r="AL98" s="9"/>
      <c r="AM98" s="9"/>
      <c r="AN98" s="11"/>
      <c r="AO98" s="11"/>
      <c r="AP98" s="11"/>
      <c r="AQ98" s="11"/>
      <c r="AR98" s="11"/>
      <c r="AS98" s="11"/>
      <c r="AT98" s="11"/>
      <c r="AU98" s="11"/>
      <c r="AV98" s="11"/>
      <c r="AW98" s="11"/>
      <c r="AX98" s="11"/>
      <c r="AY98" s="11"/>
      <c r="AZ98" s="11"/>
    </row>
    <row r="99" ht="15.75" customHeight="1">
      <c r="A99" s="12"/>
      <c r="B99" s="13"/>
      <c r="C99" s="14"/>
      <c r="D99" s="15"/>
      <c r="E99" s="15"/>
      <c r="F99" s="15"/>
      <c r="G99" s="15"/>
      <c r="H99" s="15"/>
      <c r="I99" s="15"/>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8"/>
      <c r="AL99" s="9"/>
      <c r="AM99" s="9"/>
      <c r="AN99" s="11"/>
      <c r="AO99" s="11"/>
      <c r="AP99" s="11"/>
      <c r="AQ99" s="11"/>
      <c r="AR99" s="11"/>
      <c r="AS99" s="11"/>
      <c r="AT99" s="11"/>
      <c r="AU99" s="11"/>
      <c r="AV99" s="11"/>
      <c r="AW99" s="11"/>
      <c r="AX99" s="11"/>
      <c r="AY99" s="11"/>
      <c r="AZ99" s="11"/>
    </row>
    <row r="100" ht="15.75" customHeight="1">
      <c r="A100" s="12"/>
      <c r="B100" s="13"/>
      <c r="C100" s="14"/>
      <c r="D100" s="15"/>
      <c r="E100" s="15"/>
      <c r="F100" s="15"/>
      <c r="G100" s="15"/>
      <c r="H100" s="15"/>
      <c r="I100" s="15"/>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8"/>
      <c r="AL100" s="9"/>
      <c r="AM100" s="9"/>
      <c r="AN100" s="11"/>
      <c r="AO100" s="11"/>
      <c r="AP100" s="11"/>
      <c r="AQ100" s="11"/>
      <c r="AR100" s="11"/>
      <c r="AS100" s="11"/>
      <c r="AT100" s="11"/>
      <c r="AU100" s="11"/>
      <c r="AV100" s="11"/>
      <c r="AW100" s="11"/>
      <c r="AX100" s="11"/>
      <c r="AY100" s="11"/>
      <c r="AZ100" s="11"/>
    </row>
    <row r="101" ht="15.75" customHeight="1">
      <c r="A101" s="12"/>
      <c r="B101" s="13"/>
      <c r="C101" s="14"/>
      <c r="D101" s="15"/>
      <c r="E101" s="15"/>
      <c r="F101" s="15"/>
      <c r="G101" s="15"/>
      <c r="H101" s="15"/>
      <c r="I101" s="15"/>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8"/>
      <c r="AL101" s="9"/>
      <c r="AM101" s="9"/>
      <c r="AN101" s="11"/>
      <c r="AO101" s="11"/>
      <c r="AP101" s="11"/>
      <c r="AQ101" s="11"/>
      <c r="AR101" s="11"/>
      <c r="AS101" s="11"/>
      <c r="AT101" s="11"/>
      <c r="AU101" s="11"/>
      <c r="AV101" s="11"/>
      <c r="AW101" s="11"/>
      <c r="AX101" s="11"/>
      <c r="AY101" s="11"/>
      <c r="AZ101" s="11"/>
    </row>
    <row r="102" ht="15.75" customHeight="1">
      <c r="A102" s="12"/>
      <c r="B102" s="13"/>
      <c r="C102" s="14"/>
      <c r="D102" s="15"/>
      <c r="E102" s="15"/>
      <c r="F102" s="15"/>
      <c r="G102" s="15"/>
      <c r="H102" s="15"/>
      <c r="I102" s="15"/>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8"/>
      <c r="AL102" s="9"/>
      <c r="AM102" s="9"/>
      <c r="AN102" s="11"/>
      <c r="AO102" s="11"/>
      <c r="AP102" s="11"/>
      <c r="AQ102" s="11"/>
      <c r="AR102" s="11"/>
      <c r="AS102" s="11"/>
      <c r="AT102" s="11"/>
      <c r="AU102" s="11"/>
      <c r="AV102" s="11"/>
      <c r="AW102" s="11"/>
      <c r="AX102" s="11"/>
      <c r="AY102" s="11"/>
      <c r="AZ102" s="11"/>
    </row>
    <row r="103" ht="15.75" customHeight="1">
      <c r="A103" s="12"/>
      <c r="B103" s="13"/>
      <c r="C103" s="14"/>
      <c r="D103" s="15"/>
      <c r="E103" s="15"/>
      <c r="F103" s="15"/>
      <c r="G103" s="15"/>
      <c r="H103" s="15"/>
      <c r="I103" s="15"/>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8"/>
      <c r="AL103" s="9"/>
      <c r="AM103" s="9"/>
      <c r="AN103" s="11"/>
      <c r="AO103" s="11"/>
      <c r="AP103" s="11"/>
      <c r="AQ103" s="11"/>
      <c r="AR103" s="11"/>
      <c r="AS103" s="11"/>
      <c r="AT103" s="11"/>
      <c r="AU103" s="11"/>
      <c r="AV103" s="11"/>
      <c r="AW103" s="11"/>
      <c r="AX103" s="11"/>
      <c r="AY103" s="11"/>
      <c r="AZ103" s="11"/>
    </row>
    <row r="104" ht="15.75" customHeight="1">
      <c r="A104" s="12"/>
      <c r="B104" s="13"/>
      <c r="C104" s="14"/>
      <c r="D104" s="15"/>
      <c r="E104" s="15"/>
      <c r="F104" s="15"/>
      <c r="G104" s="15"/>
      <c r="H104" s="15"/>
      <c r="I104" s="15"/>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8"/>
      <c r="AL104" s="9"/>
      <c r="AM104" s="9"/>
      <c r="AN104" s="11"/>
      <c r="AO104" s="11"/>
      <c r="AP104" s="11"/>
      <c r="AQ104" s="11"/>
      <c r="AR104" s="11"/>
      <c r="AS104" s="11"/>
      <c r="AT104" s="11"/>
      <c r="AU104" s="11"/>
      <c r="AV104" s="11"/>
      <c r="AW104" s="11"/>
      <c r="AX104" s="11"/>
      <c r="AY104" s="11"/>
      <c r="AZ104" s="11"/>
    </row>
    <row r="105" ht="15.75" customHeight="1">
      <c r="A105" s="12"/>
      <c r="B105" s="13"/>
      <c r="C105" s="14"/>
      <c r="D105" s="15"/>
      <c r="E105" s="15"/>
      <c r="F105" s="15"/>
      <c r="G105" s="15"/>
      <c r="H105" s="15"/>
      <c r="I105" s="15"/>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8"/>
      <c r="AL105" s="9"/>
      <c r="AM105" s="9"/>
      <c r="AN105" s="11"/>
      <c r="AO105" s="11"/>
      <c r="AP105" s="11"/>
      <c r="AQ105" s="11"/>
      <c r="AR105" s="11"/>
      <c r="AS105" s="11"/>
      <c r="AT105" s="11"/>
      <c r="AU105" s="11"/>
      <c r="AV105" s="11"/>
      <c r="AW105" s="11"/>
      <c r="AX105" s="11"/>
      <c r="AY105" s="11"/>
      <c r="AZ105" s="11"/>
    </row>
    <row r="106" ht="15.75" customHeight="1">
      <c r="A106" s="12"/>
      <c r="B106" s="13"/>
      <c r="C106" s="14"/>
      <c r="D106" s="15"/>
      <c r="E106" s="15"/>
      <c r="F106" s="15"/>
      <c r="G106" s="15"/>
      <c r="H106" s="15"/>
      <c r="I106" s="15"/>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8"/>
      <c r="AL106" s="9"/>
      <c r="AM106" s="9"/>
      <c r="AN106" s="11"/>
      <c r="AO106" s="11"/>
      <c r="AP106" s="11"/>
      <c r="AQ106" s="11"/>
      <c r="AR106" s="11"/>
      <c r="AS106" s="11"/>
      <c r="AT106" s="11"/>
      <c r="AU106" s="11"/>
      <c r="AV106" s="11"/>
      <c r="AW106" s="11"/>
      <c r="AX106" s="11"/>
      <c r="AY106" s="11"/>
      <c r="AZ106" s="11"/>
    </row>
    <row r="107" ht="15.75" customHeight="1">
      <c r="A107" s="12"/>
      <c r="B107" s="13"/>
      <c r="C107" s="14"/>
      <c r="D107" s="15"/>
      <c r="E107" s="15"/>
      <c r="F107" s="15"/>
      <c r="G107" s="15"/>
      <c r="H107" s="15"/>
      <c r="I107" s="15"/>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8"/>
      <c r="AL107" s="9"/>
      <c r="AM107" s="9"/>
      <c r="AN107" s="11"/>
      <c r="AO107" s="11"/>
      <c r="AP107" s="11"/>
      <c r="AQ107" s="11"/>
      <c r="AR107" s="11"/>
      <c r="AS107" s="11"/>
      <c r="AT107" s="11"/>
      <c r="AU107" s="11"/>
      <c r="AV107" s="11"/>
      <c r="AW107" s="11"/>
      <c r="AX107" s="11"/>
      <c r="AY107" s="11"/>
      <c r="AZ107" s="11"/>
    </row>
    <row r="108" ht="15.75" customHeight="1">
      <c r="A108" s="12"/>
      <c r="B108" s="13"/>
      <c r="C108" s="14"/>
      <c r="D108" s="15"/>
      <c r="E108" s="15"/>
      <c r="F108" s="15"/>
      <c r="G108" s="15"/>
      <c r="H108" s="15"/>
      <c r="I108" s="15"/>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8"/>
      <c r="AL108" s="9"/>
      <c r="AM108" s="9"/>
      <c r="AN108" s="11"/>
      <c r="AO108" s="11"/>
      <c r="AP108" s="11"/>
      <c r="AQ108" s="11"/>
      <c r="AR108" s="11"/>
      <c r="AS108" s="11"/>
      <c r="AT108" s="11"/>
      <c r="AU108" s="11"/>
      <c r="AV108" s="11"/>
      <c r="AW108" s="11"/>
      <c r="AX108" s="11"/>
      <c r="AY108" s="11"/>
      <c r="AZ108" s="11"/>
    </row>
    <row r="109" ht="15.75" customHeight="1">
      <c r="A109" s="12"/>
      <c r="B109" s="13"/>
      <c r="C109" s="14"/>
      <c r="D109" s="15"/>
      <c r="E109" s="15"/>
      <c r="F109" s="15"/>
      <c r="G109" s="15"/>
      <c r="H109" s="15"/>
      <c r="I109" s="15"/>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8"/>
      <c r="AL109" s="9"/>
      <c r="AM109" s="9"/>
      <c r="AN109" s="11"/>
      <c r="AO109" s="11"/>
      <c r="AP109" s="11"/>
      <c r="AQ109" s="11"/>
      <c r="AR109" s="11"/>
      <c r="AS109" s="11"/>
      <c r="AT109" s="11"/>
      <c r="AU109" s="11"/>
      <c r="AV109" s="11"/>
      <c r="AW109" s="11"/>
      <c r="AX109" s="11"/>
      <c r="AY109" s="11"/>
      <c r="AZ109" s="11"/>
    </row>
    <row r="110" ht="15.75" customHeight="1">
      <c r="A110" s="12"/>
      <c r="B110" s="13"/>
      <c r="C110" s="14"/>
      <c r="D110" s="15"/>
      <c r="E110" s="15"/>
      <c r="F110" s="15"/>
      <c r="G110" s="15"/>
      <c r="H110" s="15"/>
      <c r="I110" s="15"/>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8"/>
      <c r="AL110" s="9"/>
      <c r="AM110" s="9"/>
      <c r="AN110" s="11"/>
      <c r="AO110" s="11"/>
      <c r="AP110" s="11"/>
      <c r="AQ110" s="11"/>
      <c r="AR110" s="11"/>
      <c r="AS110" s="11"/>
      <c r="AT110" s="11"/>
      <c r="AU110" s="11"/>
      <c r="AV110" s="11"/>
      <c r="AW110" s="11"/>
      <c r="AX110" s="11"/>
      <c r="AY110" s="11"/>
      <c r="AZ110" s="11"/>
    </row>
    <row r="111" ht="15.75" customHeight="1">
      <c r="A111" s="12"/>
      <c r="B111" s="13"/>
      <c r="C111" s="14"/>
      <c r="D111" s="15"/>
      <c r="E111" s="15"/>
      <c r="F111" s="15"/>
      <c r="G111" s="15"/>
      <c r="H111" s="15"/>
      <c r="I111" s="15"/>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8"/>
      <c r="AL111" s="9"/>
      <c r="AM111" s="9"/>
      <c r="AN111" s="11"/>
      <c r="AO111" s="11"/>
      <c r="AP111" s="11"/>
      <c r="AQ111" s="11"/>
      <c r="AR111" s="11"/>
      <c r="AS111" s="11"/>
      <c r="AT111" s="11"/>
      <c r="AU111" s="11"/>
      <c r="AV111" s="11"/>
      <c r="AW111" s="11"/>
      <c r="AX111" s="11"/>
      <c r="AY111" s="11"/>
      <c r="AZ111" s="11"/>
    </row>
    <row r="112" ht="15.75" customHeight="1">
      <c r="A112" s="12"/>
      <c r="B112" s="13"/>
      <c r="C112" s="14"/>
      <c r="D112" s="15"/>
      <c r="E112" s="15"/>
      <c r="F112" s="15"/>
      <c r="G112" s="15"/>
      <c r="H112" s="15"/>
      <c r="I112" s="15"/>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8"/>
      <c r="AL112" s="9"/>
      <c r="AM112" s="9"/>
      <c r="AN112" s="11"/>
      <c r="AO112" s="11"/>
      <c r="AP112" s="11"/>
      <c r="AQ112" s="11"/>
      <c r="AR112" s="11"/>
      <c r="AS112" s="11"/>
      <c r="AT112" s="11"/>
      <c r="AU112" s="11"/>
      <c r="AV112" s="11"/>
      <c r="AW112" s="11"/>
      <c r="AX112" s="11"/>
      <c r="AY112" s="11"/>
      <c r="AZ112" s="11"/>
    </row>
    <row r="113" ht="15.75" customHeight="1">
      <c r="A113" s="12"/>
      <c r="B113" s="13"/>
      <c r="C113" s="14"/>
      <c r="D113" s="15"/>
      <c r="E113" s="15"/>
      <c r="F113" s="15"/>
      <c r="G113" s="15"/>
      <c r="H113" s="15"/>
      <c r="I113" s="15"/>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8"/>
      <c r="AL113" s="9"/>
      <c r="AM113" s="9"/>
      <c r="AN113" s="11"/>
      <c r="AO113" s="11"/>
      <c r="AP113" s="11"/>
      <c r="AQ113" s="11"/>
      <c r="AR113" s="11"/>
      <c r="AS113" s="11"/>
      <c r="AT113" s="11"/>
      <c r="AU113" s="11"/>
      <c r="AV113" s="11"/>
      <c r="AW113" s="11"/>
      <c r="AX113" s="11"/>
      <c r="AY113" s="11"/>
      <c r="AZ113" s="11"/>
    </row>
    <row r="114" ht="15.75" customHeight="1">
      <c r="A114" s="12"/>
      <c r="B114" s="13"/>
      <c r="C114" s="14"/>
      <c r="D114" s="15"/>
      <c r="E114" s="15"/>
      <c r="F114" s="15"/>
      <c r="G114" s="15"/>
      <c r="H114" s="15"/>
      <c r="I114" s="15"/>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8"/>
      <c r="AL114" s="9"/>
      <c r="AM114" s="9"/>
      <c r="AN114" s="11"/>
      <c r="AO114" s="11"/>
      <c r="AP114" s="11"/>
      <c r="AQ114" s="11"/>
      <c r="AR114" s="11"/>
      <c r="AS114" s="11"/>
      <c r="AT114" s="11"/>
      <c r="AU114" s="11"/>
      <c r="AV114" s="11"/>
      <c r="AW114" s="11"/>
      <c r="AX114" s="11"/>
      <c r="AY114" s="11"/>
      <c r="AZ114" s="11"/>
    </row>
    <row r="115" ht="15.75" customHeight="1">
      <c r="A115" s="12"/>
      <c r="B115" s="13"/>
      <c r="C115" s="14"/>
      <c r="D115" s="15"/>
      <c r="E115" s="15"/>
      <c r="F115" s="15"/>
      <c r="G115" s="15"/>
      <c r="H115" s="15"/>
      <c r="I115" s="15"/>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8"/>
      <c r="AL115" s="9"/>
      <c r="AM115" s="9"/>
      <c r="AN115" s="11"/>
      <c r="AO115" s="11"/>
      <c r="AP115" s="11"/>
      <c r="AQ115" s="11"/>
      <c r="AR115" s="11"/>
      <c r="AS115" s="11"/>
      <c r="AT115" s="11"/>
      <c r="AU115" s="11"/>
      <c r="AV115" s="11"/>
      <c r="AW115" s="11"/>
      <c r="AX115" s="11"/>
      <c r="AY115" s="11"/>
      <c r="AZ115" s="11"/>
    </row>
    <row r="116" ht="15.75" customHeight="1">
      <c r="A116" s="12"/>
      <c r="B116" s="13"/>
      <c r="C116" s="14"/>
      <c r="D116" s="15"/>
      <c r="E116" s="15"/>
      <c r="F116" s="15"/>
      <c r="G116" s="15"/>
      <c r="H116" s="15"/>
      <c r="I116" s="15"/>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8"/>
      <c r="AL116" s="9"/>
      <c r="AM116" s="9"/>
      <c r="AN116" s="11"/>
      <c r="AO116" s="11"/>
      <c r="AP116" s="11"/>
      <c r="AQ116" s="11"/>
      <c r="AR116" s="11"/>
      <c r="AS116" s="11"/>
      <c r="AT116" s="11"/>
      <c r="AU116" s="11"/>
      <c r="AV116" s="11"/>
      <c r="AW116" s="11"/>
      <c r="AX116" s="11"/>
      <c r="AY116" s="11"/>
      <c r="AZ116" s="11"/>
    </row>
    <row r="117" ht="15.75" customHeight="1">
      <c r="A117" s="12"/>
      <c r="B117" s="13"/>
      <c r="C117" s="14"/>
      <c r="D117" s="15"/>
      <c r="E117" s="15"/>
      <c r="F117" s="15"/>
      <c r="G117" s="15"/>
      <c r="H117" s="15"/>
      <c r="I117" s="15"/>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8"/>
      <c r="AL117" s="9"/>
      <c r="AM117" s="9"/>
      <c r="AN117" s="11"/>
      <c r="AO117" s="11"/>
      <c r="AP117" s="11"/>
      <c r="AQ117" s="11"/>
      <c r="AR117" s="11"/>
      <c r="AS117" s="11"/>
      <c r="AT117" s="11"/>
      <c r="AU117" s="11"/>
      <c r="AV117" s="11"/>
      <c r="AW117" s="11"/>
      <c r="AX117" s="11"/>
      <c r="AY117" s="11"/>
      <c r="AZ117" s="11"/>
    </row>
    <row r="118" ht="15.75" customHeight="1">
      <c r="A118" s="12"/>
      <c r="B118" s="13"/>
      <c r="C118" s="14"/>
      <c r="D118" s="15"/>
      <c r="E118" s="15"/>
      <c r="F118" s="15"/>
      <c r="G118" s="15"/>
      <c r="H118" s="15"/>
      <c r="I118" s="15"/>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8"/>
      <c r="AL118" s="9"/>
      <c r="AM118" s="9"/>
      <c r="AN118" s="11"/>
      <c r="AO118" s="11"/>
      <c r="AP118" s="11"/>
      <c r="AQ118" s="11"/>
      <c r="AR118" s="11"/>
      <c r="AS118" s="11"/>
      <c r="AT118" s="11"/>
      <c r="AU118" s="11"/>
      <c r="AV118" s="11"/>
      <c r="AW118" s="11"/>
      <c r="AX118" s="11"/>
      <c r="AY118" s="11"/>
      <c r="AZ118" s="11"/>
    </row>
    <row r="119" ht="15.75" customHeight="1">
      <c r="A119" s="12"/>
      <c r="B119" s="13"/>
      <c r="C119" s="14"/>
      <c r="D119" s="15"/>
      <c r="E119" s="15"/>
      <c r="F119" s="15"/>
      <c r="G119" s="15"/>
      <c r="H119" s="15"/>
      <c r="I119" s="15"/>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8"/>
      <c r="AL119" s="9"/>
      <c r="AM119" s="9"/>
      <c r="AN119" s="11"/>
      <c r="AO119" s="11"/>
      <c r="AP119" s="11"/>
      <c r="AQ119" s="11"/>
      <c r="AR119" s="11"/>
      <c r="AS119" s="11"/>
      <c r="AT119" s="11"/>
      <c r="AU119" s="11"/>
      <c r="AV119" s="11"/>
      <c r="AW119" s="11"/>
      <c r="AX119" s="11"/>
      <c r="AY119" s="11"/>
      <c r="AZ119" s="11"/>
    </row>
    <row r="120" ht="15.75" customHeight="1">
      <c r="A120" s="12"/>
      <c r="B120" s="13"/>
      <c r="C120" s="14"/>
      <c r="D120" s="15"/>
      <c r="E120" s="15"/>
      <c r="F120" s="15"/>
      <c r="G120" s="15"/>
      <c r="H120" s="15"/>
      <c r="I120" s="15"/>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8"/>
      <c r="AL120" s="9"/>
      <c r="AM120" s="9"/>
      <c r="AN120" s="11"/>
      <c r="AO120" s="11"/>
      <c r="AP120" s="11"/>
      <c r="AQ120" s="11"/>
      <c r="AR120" s="11"/>
      <c r="AS120" s="11"/>
      <c r="AT120" s="11"/>
      <c r="AU120" s="11"/>
      <c r="AV120" s="11"/>
      <c r="AW120" s="11"/>
      <c r="AX120" s="11"/>
      <c r="AY120" s="11"/>
      <c r="AZ120" s="11"/>
    </row>
    <row r="121" ht="15.75" customHeight="1">
      <c r="A121" s="12"/>
      <c r="B121" s="13"/>
      <c r="C121" s="14"/>
      <c r="D121" s="15"/>
      <c r="E121" s="15"/>
      <c r="F121" s="15"/>
      <c r="G121" s="15"/>
      <c r="H121" s="15"/>
      <c r="I121" s="15"/>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8"/>
      <c r="AL121" s="9"/>
      <c r="AM121" s="9"/>
      <c r="AN121" s="11"/>
      <c r="AO121" s="11"/>
      <c r="AP121" s="11"/>
      <c r="AQ121" s="11"/>
      <c r="AR121" s="11"/>
      <c r="AS121" s="11"/>
      <c r="AT121" s="11"/>
      <c r="AU121" s="11"/>
      <c r="AV121" s="11"/>
      <c r="AW121" s="11"/>
      <c r="AX121" s="11"/>
      <c r="AY121" s="11"/>
      <c r="AZ121" s="11"/>
    </row>
    <row r="122" ht="15.75" customHeight="1">
      <c r="A122" s="12"/>
      <c r="B122" s="13"/>
      <c r="C122" s="14"/>
      <c r="D122" s="15"/>
      <c r="E122" s="15"/>
      <c r="F122" s="15"/>
      <c r="G122" s="15"/>
      <c r="H122" s="15"/>
      <c r="I122" s="15"/>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8"/>
      <c r="AL122" s="9"/>
      <c r="AM122" s="9"/>
      <c r="AN122" s="11"/>
      <c r="AO122" s="11"/>
      <c r="AP122" s="11"/>
      <c r="AQ122" s="11"/>
      <c r="AR122" s="11"/>
      <c r="AS122" s="11"/>
      <c r="AT122" s="11"/>
      <c r="AU122" s="11"/>
      <c r="AV122" s="11"/>
      <c r="AW122" s="11"/>
      <c r="AX122" s="11"/>
      <c r="AY122" s="11"/>
      <c r="AZ122" s="11"/>
    </row>
    <row r="123" ht="15.75" customHeight="1">
      <c r="A123" s="12"/>
      <c r="B123" s="13"/>
      <c r="C123" s="14"/>
      <c r="D123" s="15"/>
      <c r="E123" s="15"/>
      <c r="F123" s="15"/>
      <c r="G123" s="15"/>
      <c r="H123" s="15"/>
      <c r="I123" s="15"/>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8"/>
      <c r="AL123" s="9"/>
      <c r="AM123" s="9"/>
      <c r="AN123" s="11"/>
      <c r="AO123" s="11"/>
      <c r="AP123" s="11"/>
      <c r="AQ123" s="11"/>
      <c r="AR123" s="11"/>
      <c r="AS123" s="11"/>
      <c r="AT123" s="11"/>
      <c r="AU123" s="11"/>
      <c r="AV123" s="11"/>
      <c r="AW123" s="11"/>
      <c r="AX123" s="11"/>
      <c r="AY123" s="11"/>
      <c r="AZ123" s="11"/>
    </row>
    <row r="124" ht="15.75" customHeight="1">
      <c r="A124" s="12"/>
      <c r="B124" s="13"/>
      <c r="C124" s="14"/>
      <c r="D124" s="15"/>
      <c r="E124" s="15"/>
      <c r="F124" s="15"/>
      <c r="G124" s="15"/>
      <c r="H124" s="15"/>
      <c r="I124" s="15"/>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8"/>
      <c r="AL124" s="9"/>
      <c r="AM124" s="9"/>
      <c r="AN124" s="11"/>
      <c r="AO124" s="11"/>
      <c r="AP124" s="11"/>
      <c r="AQ124" s="11"/>
      <c r="AR124" s="11"/>
      <c r="AS124" s="11"/>
      <c r="AT124" s="11"/>
      <c r="AU124" s="11"/>
      <c r="AV124" s="11"/>
      <c r="AW124" s="11"/>
      <c r="AX124" s="11"/>
      <c r="AY124" s="11"/>
      <c r="AZ124" s="11"/>
    </row>
    <row r="125" ht="15.75" customHeight="1">
      <c r="A125" s="12"/>
      <c r="B125" s="13"/>
      <c r="C125" s="14"/>
      <c r="D125" s="15"/>
      <c r="E125" s="15"/>
      <c r="F125" s="15"/>
      <c r="G125" s="15"/>
      <c r="H125" s="15"/>
      <c r="I125" s="15"/>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8"/>
      <c r="AL125" s="9"/>
      <c r="AM125" s="9"/>
      <c r="AN125" s="11"/>
      <c r="AO125" s="11"/>
      <c r="AP125" s="11"/>
      <c r="AQ125" s="11"/>
      <c r="AR125" s="11"/>
      <c r="AS125" s="11"/>
      <c r="AT125" s="11"/>
      <c r="AU125" s="11"/>
      <c r="AV125" s="11"/>
      <c r="AW125" s="11"/>
      <c r="AX125" s="11"/>
      <c r="AY125" s="11"/>
      <c r="AZ125" s="11"/>
    </row>
    <row r="126" ht="15.75" customHeight="1">
      <c r="A126" s="12"/>
      <c r="B126" s="13"/>
      <c r="C126" s="14"/>
      <c r="D126" s="15"/>
      <c r="E126" s="15"/>
      <c r="F126" s="15"/>
      <c r="G126" s="15"/>
      <c r="H126" s="15"/>
      <c r="I126" s="15"/>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8"/>
      <c r="AL126" s="9"/>
      <c r="AM126" s="9"/>
      <c r="AN126" s="11"/>
      <c r="AO126" s="11"/>
      <c r="AP126" s="11"/>
      <c r="AQ126" s="11"/>
      <c r="AR126" s="11"/>
      <c r="AS126" s="11"/>
      <c r="AT126" s="11"/>
      <c r="AU126" s="11"/>
      <c r="AV126" s="11"/>
      <c r="AW126" s="11"/>
      <c r="AX126" s="11"/>
      <c r="AY126" s="11"/>
      <c r="AZ126" s="11"/>
    </row>
    <row r="127" ht="15.75" customHeight="1">
      <c r="A127" s="12"/>
      <c r="B127" s="13"/>
      <c r="C127" s="14"/>
      <c r="D127" s="15"/>
      <c r="E127" s="15"/>
      <c r="F127" s="15"/>
      <c r="G127" s="15"/>
      <c r="H127" s="15"/>
      <c r="I127" s="15"/>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8"/>
      <c r="AL127" s="9"/>
      <c r="AM127" s="9"/>
      <c r="AN127" s="11"/>
      <c r="AO127" s="11"/>
      <c r="AP127" s="11"/>
      <c r="AQ127" s="11"/>
      <c r="AR127" s="11"/>
      <c r="AS127" s="11"/>
      <c r="AT127" s="11"/>
      <c r="AU127" s="11"/>
      <c r="AV127" s="11"/>
      <c r="AW127" s="11"/>
      <c r="AX127" s="11"/>
      <c r="AY127" s="11"/>
      <c r="AZ127" s="11"/>
    </row>
    <row r="128" ht="15.75" customHeight="1">
      <c r="A128" s="12"/>
      <c r="B128" s="13"/>
      <c r="C128" s="14"/>
      <c r="D128" s="15"/>
      <c r="E128" s="15"/>
      <c r="F128" s="15"/>
      <c r="G128" s="15"/>
      <c r="H128" s="15"/>
      <c r="I128" s="15"/>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8"/>
      <c r="AL128" s="9"/>
      <c r="AM128" s="9"/>
      <c r="AN128" s="11"/>
      <c r="AO128" s="11"/>
      <c r="AP128" s="11"/>
      <c r="AQ128" s="11"/>
      <c r="AR128" s="11"/>
      <c r="AS128" s="11"/>
      <c r="AT128" s="11"/>
      <c r="AU128" s="11"/>
      <c r="AV128" s="11"/>
      <c r="AW128" s="11"/>
      <c r="AX128" s="11"/>
      <c r="AY128" s="11"/>
      <c r="AZ128" s="11"/>
    </row>
    <row r="129" ht="15.75" customHeight="1">
      <c r="A129" s="12"/>
      <c r="B129" s="13"/>
      <c r="C129" s="14"/>
      <c r="D129" s="15"/>
      <c r="E129" s="15"/>
      <c r="F129" s="15"/>
      <c r="G129" s="15"/>
      <c r="H129" s="15"/>
      <c r="I129" s="15"/>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8"/>
      <c r="AL129" s="9"/>
      <c r="AM129" s="9"/>
      <c r="AN129" s="11"/>
      <c r="AO129" s="11"/>
      <c r="AP129" s="11"/>
      <c r="AQ129" s="11"/>
      <c r="AR129" s="11"/>
      <c r="AS129" s="11"/>
      <c r="AT129" s="11"/>
      <c r="AU129" s="11"/>
      <c r="AV129" s="11"/>
      <c r="AW129" s="11"/>
      <c r="AX129" s="11"/>
      <c r="AY129" s="11"/>
      <c r="AZ129" s="11"/>
    </row>
    <row r="130" ht="15.75" customHeight="1">
      <c r="A130" s="12"/>
      <c r="B130" s="13"/>
      <c r="C130" s="14"/>
      <c r="D130" s="15"/>
      <c r="E130" s="15"/>
      <c r="F130" s="15"/>
      <c r="G130" s="15"/>
      <c r="H130" s="15"/>
      <c r="I130" s="15"/>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8"/>
      <c r="AL130" s="9"/>
      <c r="AM130" s="9"/>
      <c r="AN130" s="11"/>
      <c r="AO130" s="11"/>
      <c r="AP130" s="11"/>
      <c r="AQ130" s="11"/>
      <c r="AR130" s="11"/>
      <c r="AS130" s="11"/>
      <c r="AT130" s="11"/>
      <c r="AU130" s="11"/>
      <c r="AV130" s="11"/>
      <c r="AW130" s="11"/>
      <c r="AX130" s="11"/>
      <c r="AY130" s="11"/>
      <c r="AZ130" s="11"/>
    </row>
    <row r="131" ht="15.75" customHeight="1">
      <c r="A131" s="12"/>
      <c r="B131" s="13"/>
      <c r="C131" s="14"/>
      <c r="D131" s="15"/>
      <c r="E131" s="15"/>
      <c r="F131" s="15"/>
      <c r="G131" s="15"/>
      <c r="H131" s="15"/>
      <c r="I131" s="15"/>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8"/>
      <c r="AL131" s="9"/>
      <c r="AM131" s="9"/>
      <c r="AN131" s="11"/>
      <c r="AO131" s="11"/>
      <c r="AP131" s="11"/>
      <c r="AQ131" s="11"/>
      <c r="AR131" s="11"/>
      <c r="AS131" s="11"/>
      <c r="AT131" s="11"/>
      <c r="AU131" s="11"/>
      <c r="AV131" s="11"/>
      <c r="AW131" s="11"/>
      <c r="AX131" s="11"/>
      <c r="AY131" s="11"/>
      <c r="AZ131" s="11"/>
    </row>
    <row r="132" ht="15.75" customHeight="1">
      <c r="A132" s="12"/>
      <c r="B132" s="13"/>
      <c r="C132" s="14"/>
      <c r="D132" s="15"/>
      <c r="E132" s="15"/>
      <c r="F132" s="15"/>
      <c r="G132" s="15"/>
      <c r="H132" s="15"/>
      <c r="I132" s="15"/>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8"/>
      <c r="AL132" s="9"/>
      <c r="AM132" s="9"/>
      <c r="AN132" s="11"/>
      <c r="AO132" s="11"/>
      <c r="AP132" s="11"/>
      <c r="AQ132" s="11"/>
      <c r="AR132" s="11"/>
      <c r="AS132" s="11"/>
      <c r="AT132" s="11"/>
      <c r="AU132" s="11"/>
      <c r="AV132" s="11"/>
      <c r="AW132" s="11"/>
      <c r="AX132" s="11"/>
      <c r="AY132" s="11"/>
      <c r="AZ132" s="11"/>
    </row>
    <row r="133" ht="15.75" customHeight="1">
      <c r="A133" s="12"/>
      <c r="B133" s="13"/>
      <c r="C133" s="14"/>
      <c r="D133" s="15"/>
      <c r="E133" s="15"/>
      <c r="F133" s="15"/>
      <c r="G133" s="15"/>
      <c r="H133" s="15"/>
      <c r="I133" s="15"/>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8"/>
      <c r="AL133" s="9"/>
      <c r="AM133" s="9"/>
      <c r="AN133" s="11"/>
      <c r="AO133" s="11"/>
      <c r="AP133" s="11"/>
      <c r="AQ133" s="11"/>
      <c r="AR133" s="11"/>
      <c r="AS133" s="11"/>
      <c r="AT133" s="11"/>
      <c r="AU133" s="11"/>
      <c r="AV133" s="11"/>
      <c r="AW133" s="11"/>
      <c r="AX133" s="11"/>
      <c r="AY133" s="11"/>
      <c r="AZ133" s="11"/>
    </row>
    <row r="134" ht="15.75" customHeight="1">
      <c r="A134" s="12"/>
      <c r="B134" s="13"/>
      <c r="C134" s="14"/>
      <c r="D134" s="15"/>
      <c r="E134" s="15"/>
      <c r="F134" s="15"/>
      <c r="G134" s="15"/>
      <c r="H134" s="15"/>
      <c r="I134" s="15"/>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8"/>
      <c r="AL134" s="9"/>
      <c r="AM134" s="9"/>
      <c r="AN134" s="11"/>
      <c r="AO134" s="11"/>
      <c r="AP134" s="11"/>
      <c r="AQ134" s="11"/>
      <c r="AR134" s="11"/>
      <c r="AS134" s="11"/>
      <c r="AT134" s="11"/>
      <c r="AU134" s="11"/>
      <c r="AV134" s="11"/>
      <c r="AW134" s="11"/>
      <c r="AX134" s="11"/>
      <c r="AY134" s="11"/>
      <c r="AZ134" s="11"/>
    </row>
    <row r="135" ht="15.75" customHeight="1">
      <c r="A135" s="12"/>
      <c r="B135" s="13"/>
      <c r="C135" s="14"/>
      <c r="D135" s="15"/>
      <c r="E135" s="15"/>
      <c r="F135" s="15"/>
      <c r="G135" s="15"/>
      <c r="H135" s="15"/>
      <c r="I135" s="15"/>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8"/>
      <c r="AL135" s="9"/>
      <c r="AM135" s="9"/>
      <c r="AN135" s="11"/>
      <c r="AO135" s="11"/>
      <c r="AP135" s="11"/>
      <c r="AQ135" s="11"/>
      <c r="AR135" s="11"/>
      <c r="AS135" s="11"/>
      <c r="AT135" s="11"/>
      <c r="AU135" s="11"/>
      <c r="AV135" s="11"/>
      <c r="AW135" s="11"/>
      <c r="AX135" s="11"/>
      <c r="AY135" s="11"/>
      <c r="AZ135" s="11"/>
    </row>
    <row r="136" ht="15.75" customHeight="1">
      <c r="A136" s="12"/>
      <c r="B136" s="13"/>
      <c r="C136" s="14"/>
      <c r="D136" s="15"/>
      <c r="E136" s="15"/>
      <c r="F136" s="15"/>
      <c r="G136" s="15"/>
      <c r="H136" s="15"/>
      <c r="I136" s="15"/>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8"/>
      <c r="AL136" s="9"/>
      <c r="AM136" s="9"/>
      <c r="AN136" s="11"/>
      <c r="AO136" s="11"/>
      <c r="AP136" s="11"/>
      <c r="AQ136" s="11"/>
      <c r="AR136" s="11"/>
      <c r="AS136" s="11"/>
      <c r="AT136" s="11"/>
      <c r="AU136" s="11"/>
      <c r="AV136" s="11"/>
      <c r="AW136" s="11"/>
      <c r="AX136" s="11"/>
      <c r="AY136" s="11"/>
      <c r="AZ136" s="11"/>
    </row>
    <row r="137" ht="15.75" customHeight="1">
      <c r="A137" s="12"/>
      <c r="B137" s="13"/>
      <c r="C137" s="14"/>
      <c r="D137" s="15"/>
      <c r="E137" s="15"/>
      <c r="F137" s="15"/>
      <c r="G137" s="15"/>
      <c r="H137" s="15"/>
      <c r="I137" s="15"/>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8"/>
      <c r="AL137" s="9"/>
      <c r="AM137" s="9"/>
      <c r="AN137" s="11"/>
      <c r="AO137" s="11"/>
      <c r="AP137" s="11"/>
      <c r="AQ137" s="11"/>
      <c r="AR137" s="11"/>
      <c r="AS137" s="11"/>
      <c r="AT137" s="11"/>
      <c r="AU137" s="11"/>
      <c r="AV137" s="11"/>
      <c r="AW137" s="11"/>
      <c r="AX137" s="11"/>
      <c r="AY137" s="11"/>
      <c r="AZ137" s="11"/>
    </row>
    <row r="138" ht="15.75" customHeight="1">
      <c r="A138" s="12"/>
      <c r="B138" s="13"/>
      <c r="C138" s="14"/>
      <c r="D138" s="15"/>
      <c r="E138" s="15"/>
      <c r="F138" s="15"/>
      <c r="G138" s="15"/>
      <c r="H138" s="15"/>
      <c r="I138" s="15"/>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8"/>
      <c r="AL138" s="9"/>
      <c r="AM138" s="9"/>
      <c r="AN138" s="11"/>
      <c r="AO138" s="11"/>
      <c r="AP138" s="11"/>
      <c r="AQ138" s="11"/>
      <c r="AR138" s="11"/>
      <c r="AS138" s="11"/>
      <c r="AT138" s="11"/>
      <c r="AU138" s="11"/>
      <c r="AV138" s="11"/>
      <c r="AW138" s="11"/>
      <c r="AX138" s="11"/>
      <c r="AY138" s="11"/>
      <c r="AZ138" s="11"/>
    </row>
    <row r="139" ht="15.75" customHeight="1">
      <c r="A139" s="12"/>
      <c r="B139" s="13"/>
      <c r="C139" s="14"/>
      <c r="D139" s="15"/>
      <c r="E139" s="15"/>
      <c r="F139" s="15"/>
      <c r="G139" s="15"/>
      <c r="H139" s="15"/>
      <c r="I139" s="15"/>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8"/>
      <c r="AL139" s="9"/>
      <c r="AM139" s="9"/>
      <c r="AN139" s="11"/>
      <c r="AO139" s="11"/>
      <c r="AP139" s="11"/>
      <c r="AQ139" s="11"/>
      <c r="AR139" s="11"/>
      <c r="AS139" s="11"/>
      <c r="AT139" s="11"/>
      <c r="AU139" s="11"/>
      <c r="AV139" s="11"/>
      <c r="AW139" s="11"/>
      <c r="AX139" s="11"/>
      <c r="AY139" s="11"/>
      <c r="AZ139" s="11"/>
    </row>
    <row r="140" ht="15.75" customHeight="1">
      <c r="A140" s="12"/>
      <c r="B140" s="13"/>
      <c r="C140" s="14"/>
      <c r="D140" s="15"/>
      <c r="E140" s="15"/>
      <c r="F140" s="15"/>
      <c r="G140" s="15"/>
      <c r="H140" s="15"/>
      <c r="I140" s="15"/>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8"/>
      <c r="AL140" s="9"/>
      <c r="AM140" s="9"/>
      <c r="AN140" s="11"/>
      <c r="AO140" s="11"/>
      <c r="AP140" s="11"/>
      <c r="AQ140" s="11"/>
      <c r="AR140" s="11"/>
      <c r="AS140" s="11"/>
      <c r="AT140" s="11"/>
      <c r="AU140" s="11"/>
      <c r="AV140" s="11"/>
      <c r="AW140" s="11"/>
      <c r="AX140" s="11"/>
      <c r="AY140" s="11"/>
      <c r="AZ140" s="11"/>
    </row>
    <row r="141" ht="15.75" customHeight="1">
      <c r="A141" s="12"/>
      <c r="B141" s="13"/>
      <c r="C141" s="14"/>
      <c r="D141" s="15"/>
      <c r="E141" s="15"/>
      <c r="F141" s="15"/>
      <c r="G141" s="15"/>
      <c r="H141" s="15"/>
      <c r="I141" s="15"/>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8"/>
      <c r="AL141" s="9"/>
      <c r="AM141" s="9"/>
      <c r="AN141" s="11"/>
      <c r="AO141" s="11"/>
      <c r="AP141" s="11"/>
      <c r="AQ141" s="11"/>
      <c r="AR141" s="11"/>
      <c r="AS141" s="11"/>
      <c r="AT141" s="11"/>
      <c r="AU141" s="11"/>
      <c r="AV141" s="11"/>
      <c r="AW141" s="11"/>
      <c r="AX141" s="11"/>
      <c r="AY141" s="11"/>
      <c r="AZ141" s="11"/>
    </row>
    <row r="142" ht="15.75" customHeight="1">
      <c r="A142" s="12"/>
      <c r="B142" s="13"/>
      <c r="C142" s="14"/>
      <c r="D142" s="15"/>
      <c r="E142" s="15"/>
      <c r="F142" s="15"/>
      <c r="G142" s="15"/>
      <c r="H142" s="15"/>
      <c r="I142" s="15"/>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8"/>
      <c r="AL142" s="9"/>
      <c r="AM142" s="9"/>
      <c r="AN142" s="11"/>
      <c r="AO142" s="11"/>
      <c r="AP142" s="11"/>
      <c r="AQ142" s="11"/>
      <c r="AR142" s="11"/>
      <c r="AS142" s="11"/>
      <c r="AT142" s="11"/>
      <c r="AU142" s="11"/>
      <c r="AV142" s="11"/>
      <c r="AW142" s="11"/>
      <c r="AX142" s="11"/>
      <c r="AY142" s="11"/>
      <c r="AZ142" s="11"/>
    </row>
    <row r="143" ht="15.75" customHeight="1">
      <c r="A143" s="12"/>
      <c r="B143" s="13"/>
      <c r="C143" s="14"/>
      <c r="D143" s="15"/>
      <c r="E143" s="15"/>
      <c r="F143" s="15"/>
      <c r="G143" s="15"/>
      <c r="H143" s="15"/>
      <c r="I143" s="15"/>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8"/>
      <c r="AL143" s="9"/>
      <c r="AM143" s="9"/>
      <c r="AN143" s="11"/>
      <c r="AO143" s="11"/>
      <c r="AP143" s="11"/>
      <c r="AQ143" s="11"/>
      <c r="AR143" s="11"/>
      <c r="AS143" s="11"/>
      <c r="AT143" s="11"/>
      <c r="AU143" s="11"/>
      <c r="AV143" s="11"/>
      <c r="AW143" s="11"/>
      <c r="AX143" s="11"/>
      <c r="AY143" s="11"/>
      <c r="AZ143" s="11"/>
    </row>
    <row r="144" ht="15.75" customHeight="1">
      <c r="A144" s="12"/>
      <c r="B144" s="13"/>
      <c r="C144" s="14"/>
      <c r="D144" s="15"/>
      <c r="E144" s="15"/>
      <c r="F144" s="15"/>
      <c r="G144" s="15"/>
      <c r="H144" s="15"/>
      <c r="I144" s="15"/>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8"/>
      <c r="AL144" s="9"/>
      <c r="AM144" s="9"/>
      <c r="AN144" s="11"/>
      <c r="AO144" s="11"/>
      <c r="AP144" s="11"/>
      <c r="AQ144" s="11"/>
      <c r="AR144" s="11"/>
      <c r="AS144" s="11"/>
      <c r="AT144" s="11"/>
      <c r="AU144" s="11"/>
      <c r="AV144" s="11"/>
      <c r="AW144" s="11"/>
      <c r="AX144" s="11"/>
      <c r="AY144" s="11"/>
      <c r="AZ144" s="11"/>
    </row>
    <row r="145" ht="15.75" customHeight="1">
      <c r="A145" s="12"/>
      <c r="B145" s="13"/>
      <c r="C145" s="14"/>
      <c r="D145" s="15"/>
      <c r="E145" s="15"/>
      <c r="F145" s="15"/>
      <c r="G145" s="15"/>
      <c r="H145" s="15"/>
      <c r="I145" s="15"/>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8"/>
      <c r="AL145" s="9"/>
      <c r="AM145" s="9"/>
      <c r="AN145" s="11"/>
      <c r="AO145" s="11"/>
      <c r="AP145" s="11"/>
      <c r="AQ145" s="11"/>
      <c r="AR145" s="11"/>
      <c r="AS145" s="11"/>
      <c r="AT145" s="11"/>
      <c r="AU145" s="11"/>
      <c r="AV145" s="11"/>
      <c r="AW145" s="11"/>
      <c r="AX145" s="11"/>
      <c r="AY145" s="11"/>
      <c r="AZ145" s="11"/>
    </row>
    <row r="146" ht="15.75" customHeight="1">
      <c r="A146" s="12"/>
      <c r="B146" s="13"/>
      <c r="C146" s="14"/>
      <c r="D146" s="15"/>
      <c r="E146" s="15"/>
      <c r="F146" s="15"/>
      <c r="G146" s="15"/>
      <c r="H146" s="15"/>
      <c r="I146" s="15"/>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8"/>
      <c r="AL146" s="9"/>
      <c r="AM146" s="9"/>
      <c r="AN146" s="11"/>
      <c r="AO146" s="11"/>
      <c r="AP146" s="11"/>
      <c r="AQ146" s="11"/>
      <c r="AR146" s="11"/>
      <c r="AS146" s="11"/>
      <c r="AT146" s="11"/>
      <c r="AU146" s="11"/>
      <c r="AV146" s="11"/>
      <c r="AW146" s="11"/>
      <c r="AX146" s="11"/>
      <c r="AY146" s="11"/>
      <c r="AZ146" s="11"/>
    </row>
    <row r="147" ht="15.75" customHeight="1">
      <c r="A147" s="12"/>
      <c r="B147" s="13"/>
      <c r="C147" s="14"/>
      <c r="D147" s="15"/>
      <c r="E147" s="15"/>
      <c r="F147" s="15"/>
      <c r="G147" s="15"/>
      <c r="H147" s="15"/>
      <c r="I147" s="15"/>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8"/>
      <c r="AL147" s="9"/>
      <c r="AM147" s="9"/>
      <c r="AN147" s="11"/>
      <c r="AO147" s="11"/>
      <c r="AP147" s="11"/>
      <c r="AQ147" s="11"/>
      <c r="AR147" s="11"/>
      <c r="AS147" s="11"/>
      <c r="AT147" s="11"/>
      <c r="AU147" s="11"/>
      <c r="AV147" s="11"/>
      <c r="AW147" s="11"/>
      <c r="AX147" s="11"/>
      <c r="AY147" s="11"/>
      <c r="AZ147" s="11"/>
    </row>
    <row r="148" ht="15.75" customHeight="1">
      <c r="A148" s="12"/>
      <c r="B148" s="13"/>
      <c r="C148" s="14"/>
      <c r="D148" s="15"/>
      <c r="E148" s="15"/>
      <c r="F148" s="15"/>
      <c r="G148" s="15"/>
      <c r="H148" s="15"/>
      <c r="I148" s="15"/>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8"/>
      <c r="AL148" s="9"/>
      <c r="AM148" s="9"/>
      <c r="AN148" s="11"/>
      <c r="AO148" s="11"/>
      <c r="AP148" s="11"/>
      <c r="AQ148" s="11"/>
      <c r="AR148" s="11"/>
      <c r="AS148" s="11"/>
      <c r="AT148" s="11"/>
      <c r="AU148" s="11"/>
      <c r="AV148" s="11"/>
      <c r="AW148" s="11"/>
      <c r="AX148" s="11"/>
      <c r="AY148" s="11"/>
      <c r="AZ148" s="11"/>
    </row>
    <row r="149" ht="15.75" customHeight="1">
      <c r="A149" s="12"/>
      <c r="B149" s="13"/>
      <c r="C149" s="14"/>
      <c r="D149" s="15"/>
      <c r="E149" s="15"/>
      <c r="F149" s="15"/>
      <c r="G149" s="15"/>
      <c r="H149" s="15"/>
      <c r="I149" s="15"/>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8"/>
      <c r="AL149" s="9"/>
      <c r="AM149" s="9"/>
      <c r="AN149" s="11"/>
      <c r="AO149" s="11"/>
      <c r="AP149" s="11"/>
      <c r="AQ149" s="11"/>
      <c r="AR149" s="11"/>
      <c r="AS149" s="11"/>
      <c r="AT149" s="11"/>
      <c r="AU149" s="11"/>
      <c r="AV149" s="11"/>
      <c r="AW149" s="11"/>
      <c r="AX149" s="11"/>
      <c r="AY149" s="11"/>
      <c r="AZ149" s="11"/>
    </row>
    <row r="150" ht="15.75" customHeight="1">
      <c r="A150" s="12"/>
      <c r="B150" s="13"/>
      <c r="C150" s="14"/>
      <c r="D150" s="15"/>
      <c r="E150" s="15"/>
      <c r="F150" s="15"/>
      <c r="G150" s="15"/>
      <c r="H150" s="15"/>
      <c r="I150" s="15"/>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8"/>
      <c r="AL150" s="9"/>
      <c r="AM150" s="9"/>
      <c r="AN150" s="11"/>
      <c r="AO150" s="11"/>
      <c r="AP150" s="11"/>
      <c r="AQ150" s="11"/>
      <c r="AR150" s="11"/>
      <c r="AS150" s="11"/>
      <c r="AT150" s="11"/>
      <c r="AU150" s="11"/>
      <c r="AV150" s="11"/>
      <c r="AW150" s="11"/>
      <c r="AX150" s="11"/>
      <c r="AY150" s="11"/>
      <c r="AZ150" s="11"/>
    </row>
    <row r="151" ht="15.75" customHeight="1">
      <c r="A151" s="12"/>
      <c r="B151" s="13"/>
      <c r="C151" s="14"/>
      <c r="D151" s="15"/>
      <c r="E151" s="15"/>
      <c r="F151" s="15"/>
      <c r="G151" s="15"/>
      <c r="H151" s="15"/>
      <c r="I151" s="15"/>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8"/>
      <c r="AL151" s="9"/>
      <c r="AM151" s="9"/>
      <c r="AN151" s="11"/>
      <c r="AO151" s="11"/>
      <c r="AP151" s="11"/>
      <c r="AQ151" s="11"/>
      <c r="AR151" s="11"/>
      <c r="AS151" s="11"/>
      <c r="AT151" s="11"/>
      <c r="AU151" s="11"/>
      <c r="AV151" s="11"/>
      <c r="AW151" s="11"/>
      <c r="AX151" s="11"/>
      <c r="AY151" s="11"/>
      <c r="AZ151" s="11"/>
    </row>
    <row r="152" ht="15.75" customHeight="1">
      <c r="A152" s="12"/>
      <c r="B152" s="13"/>
      <c r="C152" s="14"/>
      <c r="D152" s="15"/>
      <c r="E152" s="15"/>
      <c r="F152" s="15"/>
      <c r="G152" s="15"/>
      <c r="H152" s="15"/>
      <c r="I152" s="15"/>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8"/>
      <c r="AL152" s="9"/>
      <c r="AM152" s="9"/>
      <c r="AN152" s="11"/>
      <c r="AO152" s="11"/>
      <c r="AP152" s="11"/>
      <c r="AQ152" s="11"/>
      <c r="AR152" s="11"/>
      <c r="AS152" s="11"/>
      <c r="AT152" s="11"/>
      <c r="AU152" s="11"/>
      <c r="AV152" s="11"/>
      <c r="AW152" s="11"/>
      <c r="AX152" s="11"/>
      <c r="AY152" s="11"/>
      <c r="AZ152" s="11"/>
    </row>
    <row r="153" ht="15.75" customHeight="1">
      <c r="A153" s="12"/>
      <c r="B153" s="13"/>
      <c r="C153" s="14"/>
      <c r="D153" s="15"/>
      <c r="E153" s="15"/>
      <c r="F153" s="15"/>
      <c r="G153" s="15"/>
      <c r="H153" s="15"/>
      <c r="I153" s="15"/>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8"/>
      <c r="AL153" s="9"/>
      <c r="AM153" s="9"/>
      <c r="AN153" s="11"/>
      <c r="AO153" s="11"/>
      <c r="AP153" s="11"/>
      <c r="AQ153" s="11"/>
      <c r="AR153" s="11"/>
      <c r="AS153" s="11"/>
      <c r="AT153" s="11"/>
      <c r="AU153" s="11"/>
      <c r="AV153" s="11"/>
      <c r="AW153" s="11"/>
      <c r="AX153" s="11"/>
      <c r="AY153" s="11"/>
      <c r="AZ153" s="11"/>
    </row>
    <row r="154" ht="15.75" customHeight="1">
      <c r="A154" s="12"/>
      <c r="B154" s="13"/>
      <c r="C154" s="14"/>
      <c r="D154" s="15"/>
      <c r="E154" s="15"/>
      <c r="F154" s="15"/>
      <c r="G154" s="15"/>
      <c r="H154" s="15"/>
      <c r="I154" s="15"/>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8"/>
      <c r="AL154" s="9"/>
      <c r="AM154" s="9"/>
      <c r="AN154" s="11"/>
      <c r="AO154" s="11"/>
      <c r="AP154" s="11"/>
      <c r="AQ154" s="11"/>
      <c r="AR154" s="11"/>
      <c r="AS154" s="11"/>
      <c r="AT154" s="11"/>
      <c r="AU154" s="11"/>
      <c r="AV154" s="11"/>
      <c r="AW154" s="11"/>
      <c r="AX154" s="11"/>
      <c r="AY154" s="11"/>
      <c r="AZ154" s="11"/>
    </row>
    <row r="155" ht="15.75" customHeight="1">
      <c r="A155" s="12"/>
      <c r="B155" s="13"/>
      <c r="C155" s="14"/>
      <c r="D155" s="15"/>
      <c r="E155" s="15"/>
      <c r="F155" s="15"/>
      <c r="G155" s="15"/>
      <c r="H155" s="15"/>
      <c r="I155" s="15"/>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8"/>
      <c r="AL155" s="9"/>
      <c r="AM155" s="9"/>
      <c r="AN155" s="11"/>
      <c r="AO155" s="11"/>
      <c r="AP155" s="11"/>
      <c r="AQ155" s="11"/>
      <c r="AR155" s="11"/>
      <c r="AS155" s="11"/>
      <c r="AT155" s="11"/>
      <c r="AU155" s="11"/>
      <c r="AV155" s="11"/>
      <c r="AW155" s="11"/>
      <c r="AX155" s="11"/>
      <c r="AY155" s="11"/>
      <c r="AZ155" s="11"/>
    </row>
    <row r="156" ht="15.75" customHeight="1">
      <c r="A156" s="12"/>
      <c r="B156" s="13"/>
      <c r="C156" s="14"/>
      <c r="D156" s="15"/>
      <c r="E156" s="15"/>
      <c r="F156" s="15"/>
      <c r="G156" s="15"/>
      <c r="H156" s="15"/>
      <c r="I156" s="15"/>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8"/>
      <c r="AL156" s="9"/>
      <c r="AM156" s="9"/>
      <c r="AN156" s="11"/>
      <c r="AO156" s="11"/>
      <c r="AP156" s="11"/>
      <c r="AQ156" s="11"/>
      <c r="AR156" s="11"/>
      <c r="AS156" s="11"/>
      <c r="AT156" s="11"/>
      <c r="AU156" s="11"/>
      <c r="AV156" s="11"/>
      <c r="AW156" s="11"/>
      <c r="AX156" s="11"/>
      <c r="AY156" s="11"/>
      <c r="AZ156" s="11"/>
    </row>
    <row r="157" ht="15.75" customHeight="1">
      <c r="A157" s="12"/>
      <c r="B157" s="13"/>
      <c r="C157" s="14"/>
      <c r="D157" s="15"/>
      <c r="E157" s="15"/>
      <c r="F157" s="15"/>
      <c r="G157" s="15"/>
      <c r="H157" s="15"/>
      <c r="I157" s="15"/>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8"/>
      <c r="AL157" s="9"/>
      <c r="AM157" s="9"/>
      <c r="AN157" s="11"/>
      <c r="AO157" s="11"/>
      <c r="AP157" s="11"/>
      <c r="AQ157" s="11"/>
      <c r="AR157" s="11"/>
      <c r="AS157" s="11"/>
      <c r="AT157" s="11"/>
      <c r="AU157" s="11"/>
      <c r="AV157" s="11"/>
      <c r="AW157" s="11"/>
      <c r="AX157" s="11"/>
      <c r="AY157" s="11"/>
      <c r="AZ157" s="11"/>
    </row>
    <row r="158" ht="15.75" customHeight="1">
      <c r="A158" s="12"/>
      <c r="B158" s="13"/>
      <c r="C158" s="14"/>
      <c r="D158" s="15"/>
      <c r="E158" s="15"/>
      <c r="F158" s="15"/>
      <c r="G158" s="15"/>
      <c r="H158" s="15"/>
      <c r="I158" s="15"/>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8"/>
      <c r="AL158" s="9"/>
      <c r="AM158" s="9"/>
      <c r="AN158" s="11"/>
      <c r="AO158" s="11"/>
      <c r="AP158" s="11"/>
      <c r="AQ158" s="11"/>
      <c r="AR158" s="11"/>
      <c r="AS158" s="11"/>
      <c r="AT158" s="11"/>
      <c r="AU158" s="11"/>
      <c r="AV158" s="11"/>
      <c r="AW158" s="11"/>
      <c r="AX158" s="11"/>
      <c r="AY158" s="11"/>
      <c r="AZ158" s="11"/>
    </row>
    <row r="159" ht="15.75" customHeight="1">
      <c r="A159" s="12"/>
      <c r="B159" s="13"/>
      <c r="C159" s="14"/>
      <c r="D159" s="15"/>
      <c r="E159" s="15"/>
      <c r="F159" s="15"/>
      <c r="G159" s="15"/>
      <c r="H159" s="15"/>
      <c r="I159" s="15"/>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8"/>
      <c r="AL159" s="9"/>
      <c r="AM159" s="9"/>
      <c r="AN159" s="11"/>
      <c r="AO159" s="11"/>
      <c r="AP159" s="11"/>
      <c r="AQ159" s="11"/>
      <c r="AR159" s="11"/>
      <c r="AS159" s="11"/>
      <c r="AT159" s="11"/>
      <c r="AU159" s="11"/>
      <c r="AV159" s="11"/>
      <c r="AW159" s="11"/>
      <c r="AX159" s="11"/>
      <c r="AY159" s="11"/>
      <c r="AZ159" s="11"/>
    </row>
    <row r="160" ht="15.75" customHeight="1">
      <c r="A160" s="12"/>
      <c r="B160" s="13"/>
      <c r="C160" s="14"/>
      <c r="D160" s="15"/>
      <c r="E160" s="15"/>
      <c r="F160" s="15"/>
      <c r="G160" s="15"/>
      <c r="H160" s="15"/>
      <c r="I160" s="15"/>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8"/>
      <c r="AL160" s="9"/>
      <c r="AM160" s="9"/>
      <c r="AN160" s="11"/>
      <c r="AO160" s="11"/>
      <c r="AP160" s="11"/>
      <c r="AQ160" s="11"/>
      <c r="AR160" s="11"/>
      <c r="AS160" s="11"/>
      <c r="AT160" s="11"/>
      <c r="AU160" s="11"/>
      <c r="AV160" s="11"/>
      <c r="AW160" s="11"/>
      <c r="AX160" s="11"/>
      <c r="AY160" s="11"/>
      <c r="AZ160" s="11"/>
    </row>
    <row r="161" ht="15.75" customHeight="1">
      <c r="A161" s="12"/>
      <c r="B161" s="13"/>
      <c r="C161" s="14"/>
      <c r="D161" s="15"/>
      <c r="E161" s="15"/>
      <c r="F161" s="15"/>
      <c r="G161" s="15"/>
      <c r="H161" s="15"/>
      <c r="I161" s="15"/>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8"/>
      <c r="AL161" s="9"/>
      <c r="AM161" s="9"/>
      <c r="AN161" s="11"/>
      <c r="AO161" s="11"/>
      <c r="AP161" s="11"/>
      <c r="AQ161" s="11"/>
      <c r="AR161" s="11"/>
      <c r="AS161" s="11"/>
      <c r="AT161" s="11"/>
      <c r="AU161" s="11"/>
      <c r="AV161" s="11"/>
      <c r="AW161" s="11"/>
      <c r="AX161" s="11"/>
      <c r="AY161" s="11"/>
      <c r="AZ161" s="11"/>
    </row>
    <row r="162" ht="15.75" customHeight="1">
      <c r="A162" s="12"/>
      <c r="B162" s="13"/>
      <c r="C162" s="14"/>
      <c r="D162" s="15"/>
      <c r="E162" s="15"/>
      <c r="F162" s="15"/>
      <c r="G162" s="15"/>
      <c r="H162" s="15"/>
      <c r="I162" s="15"/>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8"/>
      <c r="AL162" s="9"/>
      <c r="AM162" s="9"/>
      <c r="AN162" s="11"/>
      <c r="AO162" s="11"/>
      <c r="AP162" s="11"/>
      <c r="AQ162" s="11"/>
      <c r="AR162" s="11"/>
      <c r="AS162" s="11"/>
      <c r="AT162" s="11"/>
      <c r="AU162" s="11"/>
      <c r="AV162" s="11"/>
      <c r="AW162" s="11"/>
      <c r="AX162" s="11"/>
      <c r="AY162" s="11"/>
      <c r="AZ162" s="11"/>
    </row>
    <row r="163" ht="15.75" customHeight="1">
      <c r="A163" s="12"/>
      <c r="B163" s="13"/>
      <c r="C163" s="14"/>
      <c r="D163" s="15"/>
      <c r="E163" s="15"/>
      <c r="F163" s="15"/>
      <c r="G163" s="15"/>
      <c r="H163" s="15"/>
      <c r="I163" s="15"/>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8"/>
      <c r="AL163" s="9"/>
      <c r="AM163" s="9"/>
      <c r="AN163" s="11"/>
      <c r="AO163" s="11"/>
      <c r="AP163" s="11"/>
      <c r="AQ163" s="11"/>
      <c r="AR163" s="11"/>
      <c r="AS163" s="11"/>
      <c r="AT163" s="11"/>
      <c r="AU163" s="11"/>
      <c r="AV163" s="11"/>
      <c r="AW163" s="11"/>
      <c r="AX163" s="11"/>
      <c r="AY163" s="11"/>
      <c r="AZ163" s="11"/>
    </row>
    <row r="164" ht="15.75" customHeight="1">
      <c r="A164" s="12"/>
      <c r="B164" s="13"/>
      <c r="C164" s="14"/>
      <c r="D164" s="15"/>
      <c r="E164" s="15"/>
      <c r="F164" s="15"/>
      <c r="G164" s="15"/>
      <c r="H164" s="15"/>
      <c r="I164" s="15"/>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8"/>
      <c r="AL164" s="9"/>
      <c r="AM164" s="9"/>
      <c r="AN164" s="11"/>
      <c r="AO164" s="11"/>
      <c r="AP164" s="11"/>
      <c r="AQ164" s="11"/>
      <c r="AR164" s="11"/>
      <c r="AS164" s="11"/>
      <c r="AT164" s="11"/>
      <c r="AU164" s="11"/>
      <c r="AV164" s="11"/>
      <c r="AW164" s="11"/>
      <c r="AX164" s="11"/>
      <c r="AY164" s="11"/>
      <c r="AZ164" s="11"/>
    </row>
    <row r="165" ht="15.75" customHeight="1">
      <c r="A165" s="12"/>
      <c r="B165" s="13"/>
      <c r="C165" s="14"/>
      <c r="D165" s="15"/>
      <c r="E165" s="15"/>
      <c r="F165" s="15"/>
      <c r="G165" s="15"/>
      <c r="H165" s="15"/>
      <c r="I165" s="15"/>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8"/>
      <c r="AL165" s="9"/>
      <c r="AM165" s="9"/>
      <c r="AN165" s="11"/>
      <c r="AO165" s="11"/>
      <c r="AP165" s="11"/>
      <c r="AQ165" s="11"/>
      <c r="AR165" s="11"/>
      <c r="AS165" s="11"/>
      <c r="AT165" s="11"/>
      <c r="AU165" s="11"/>
      <c r="AV165" s="11"/>
      <c r="AW165" s="11"/>
      <c r="AX165" s="11"/>
      <c r="AY165" s="11"/>
      <c r="AZ165" s="11"/>
    </row>
    <row r="166" ht="15.75" customHeight="1">
      <c r="A166" s="12"/>
      <c r="B166" s="13"/>
      <c r="C166" s="14"/>
      <c r="D166" s="15"/>
      <c r="E166" s="15"/>
      <c r="F166" s="15"/>
      <c r="G166" s="15"/>
      <c r="H166" s="15"/>
      <c r="I166" s="15"/>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8"/>
      <c r="AL166" s="9"/>
      <c r="AM166" s="9"/>
      <c r="AN166" s="11"/>
      <c r="AO166" s="11"/>
      <c r="AP166" s="11"/>
      <c r="AQ166" s="11"/>
      <c r="AR166" s="11"/>
      <c r="AS166" s="11"/>
      <c r="AT166" s="11"/>
      <c r="AU166" s="11"/>
      <c r="AV166" s="11"/>
      <c r="AW166" s="11"/>
      <c r="AX166" s="11"/>
      <c r="AY166" s="11"/>
      <c r="AZ166" s="11"/>
    </row>
    <row r="167" ht="15.75" customHeight="1">
      <c r="A167" s="12"/>
      <c r="B167" s="13"/>
      <c r="C167" s="14"/>
      <c r="D167" s="15"/>
      <c r="E167" s="15"/>
      <c r="F167" s="15"/>
      <c r="G167" s="15"/>
      <c r="H167" s="15"/>
      <c r="I167" s="15"/>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8"/>
      <c r="AL167" s="9"/>
      <c r="AM167" s="9"/>
      <c r="AN167" s="11"/>
      <c r="AO167" s="11"/>
      <c r="AP167" s="11"/>
      <c r="AQ167" s="11"/>
      <c r="AR167" s="11"/>
      <c r="AS167" s="11"/>
      <c r="AT167" s="11"/>
      <c r="AU167" s="11"/>
      <c r="AV167" s="11"/>
      <c r="AW167" s="11"/>
      <c r="AX167" s="11"/>
      <c r="AY167" s="11"/>
      <c r="AZ167" s="11"/>
    </row>
    <row r="168" ht="15.75" customHeight="1">
      <c r="A168" s="12"/>
      <c r="B168" s="13"/>
      <c r="C168" s="14"/>
      <c r="D168" s="15"/>
      <c r="E168" s="15"/>
      <c r="F168" s="15"/>
      <c r="G168" s="15"/>
      <c r="H168" s="15"/>
      <c r="I168" s="15"/>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8"/>
      <c r="AL168" s="9"/>
      <c r="AM168" s="9"/>
      <c r="AN168" s="11"/>
      <c r="AO168" s="11"/>
      <c r="AP168" s="11"/>
      <c r="AQ168" s="11"/>
      <c r="AR168" s="11"/>
      <c r="AS168" s="11"/>
      <c r="AT168" s="11"/>
      <c r="AU168" s="11"/>
      <c r="AV168" s="11"/>
      <c r="AW168" s="11"/>
      <c r="AX168" s="11"/>
      <c r="AY168" s="11"/>
      <c r="AZ168" s="11"/>
    </row>
    <row r="169" ht="15.75" customHeight="1">
      <c r="A169" s="12"/>
      <c r="B169" s="13"/>
      <c r="C169" s="14"/>
      <c r="D169" s="15"/>
      <c r="E169" s="15"/>
      <c r="F169" s="15"/>
      <c r="G169" s="15"/>
      <c r="H169" s="15"/>
      <c r="I169" s="15"/>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8"/>
      <c r="AL169" s="9"/>
      <c r="AM169" s="9"/>
      <c r="AN169" s="11"/>
      <c r="AO169" s="11"/>
      <c r="AP169" s="11"/>
      <c r="AQ169" s="11"/>
      <c r="AR169" s="11"/>
      <c r="AS169" s="11"/>
      <c r="AT169" s="11"/>
      <c r="AU169" s="11"/>
      <c r="AV169" s="11"/>
      <c r="AW169" s="11"/>
      <c r="AX169" s="11"/>
      <c r="AY169" s="11"/>
      <c r="AZ169" s="11"/>
    </row>
    <row r="170" ht="15.75" customHeight="1">
      <c r="A170" s="12"/>
      <c r="B170" s="13"/>
      <c r="C170" s="14"/>
      <c r="D170" s="15"/>
      <c r="E170" s="15"/>
      <c r="F170" s="15"/>
      <c r="G170" s="15"/>
      <c r="H170" s="15"/>
      <c r="I170" s="15"/>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8"/>
      <c r="AL170" s="9"/>
      <c r="AM170" s="9"/>
      <c r="AN170" s="11"/>
      <c r="AO170" s="11"/>
      <c r="AP170" s="11"/>
      <c r="AQ170" s="11"/>
      <c r="AR170" s="11"/>
      <c r="AS170" s="11"/>
      <c r="AT170" s="11"/>
      <c r="AU170" s="11"/>
      <c r="AV170" s="11"/>
      <c r="AW170" s="11"/>
      <c r="AX170" s="11"/>
      <c r="AY170" s="11"/>
      <c r="AZ170" s="11"/>
    </row>
    <row r="171" ht="15.75" customHeight="1">
      <c r="A171" s="12"/>
      <c r="B171" s="13"/>
      <c r="C171" s="14"/>
      <c r="D171" s="15"/>
      <c r="E171" s="15"/>
      <c r="F171" s="15"/>
      <c r="G171" s="15"/>
      <c r="H171" s="15"/>
      <c r="I171" s="15"/>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8"/>
      <c r="AL171" s="9"/>
      <c r="AM171" s="9"/>
      <c r="AN171" s="11"/>
      <c r="AO171" s="11"/>
      <c r="AP171" s="11"/>
      <c r="AQ171" s="11"/>
      <c r="AR171" s="11"/>
      <c r="AS171" s="11"/>
      <c r="AT171" s="11"/>
      <c r="AU171" s="11"/>
      <c r="AV171" s="11"/>
      <c r="AW171" s="11"/>
      <c r="AX171" s="11"/>
      <c r="AY171" s="11"/>
      <c r="AZ171" s="11"/>
    </row>
    <row r="172" ht="15.75" customHeight="1">
      <c r="A172" s="12"/>
      <c r="B172" s="13"/>
      <c r="C172" s="14"/>
      <c r="D172" s="15"/>
      <c r="E172" s="15"/>
      <c r="F172" s="15"/>
      <c r="G172" s="15"/>
      <c r="H172" s="15"/>
      <c r="I172" s="15"/>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8"/>
      <c r="AL172" s="9"/>
      <c r="AM172" s="9"/>
      <c r="AN172" s="11"/>
      <c r="AO172" s="11"/>
      <c r="AP172" s="11"/>
      <c r="AQ172" s="11"/>
      <c r="AR172" s="11"/>
      <c r="AS172" s="11"/>
      <c r="AT172" s="11"/>
      <c r="AU172" s="11"/>
      <c r="AV172" s="11"/>
      <c r="AW172" s="11"/>
      <c r="AX172" s="11"/>
      <c r="AY172" s="11"/>
      <c r="AZ172" s="11"/>
    </row>
    <row r="173" ht="15.75" customHeight="1">
      <c r="A173" s="12"/>
      <c r="B173" s="13"/>
      <c r="C173" s="14"/>
      <c r="D173" s="15"/>
      <c r="E173" s="15"/>
      <c r="F173" s="15"/>
      <c r="G173" s="15"/>
      <c r="H173" s="15"/>
      <c r="I173" s="15"/>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8"/>
      <c r="AL173" s="9"/>
      <c r="AM173" s="9"/>
      <c r="AN173" s="11"/>
      <c r="AO173" s="11"/>
      <c r="AP173" s="11"/>
      <c r="AQ173" s="11"/>
      <c r="AR173" s="11"/>
      <c r="AS173" s="11"/>
      <c r="AT173" s="11"/>
      <c r="AU173" s="11"/>
      <c r="AV173" s="11"/>
      <c r="AW173" s="11"/>
      <c r="AX173" s="11"/>
      <c r="AY173" s="11"/>
      <c r="AZ173" s="11"/>
    </row>
    <row r="174" ht="15.75" customHeight="1">
      <c r="A174" s="12"/>
      <c r="B174" s="13"/>
      <c r="C174" s="14"/>
      <c r="D174" s="15"/>
      <c r="E174" s="15"/>
      <c r="F174" s="15"/>
      <c r="G174" s="15"/>
      <c r="H174" s="15"/>
      <c r="I174" s="15"/>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8"/>
      <c r="AL174" s="9"/>
      <c r="AM174" s="9"/>
      <c r="AN174" s="11"/>
      <c r="AO174" s="11"/>
      <c r="AP174" s="11"/>
      <c r="AQ174" s="11"/>
      <c r="AR174" s="11"/>
      <c r="AS174" s="11"/>
      <c r="AT174" s="11"/>
      <c r="AU174" s="11"/>
      <c r="AV174" s="11"/>
      <c r="AW174" s="11"/>
      <c r="AX174" s="11"/>
      <c r="AY174" s="11"/>
      <c r="AZ174" s="11"/>
    </row>
    <row r="175" ht="15.75" customHeight="1">
      <c r="A175" s="12"/>
      <c r="B175" s="13"/>
      <c r="C175" s="14"/>
      <c r="D175" s="15"/>
      <c r="E175" s="15"/>
      <c r="F175" s="15"/>
      <c r="G175" s="15"/>
      <c r="H175" s="15"/>
      <c r="I175" s="15"/>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8"/>
      <c r="AL175" s="9"/>
      <c r="AM175" s="9"/>
      <c r="AN175" s="11"/>
      <c r="AO175" s="11"/>
      <c r="AP175" s="11"/>
      <c r="AQ175" s="11"/>
      <c r="AR175" s="11"/>
      <c r="AS175" s="11"/>
      <c r="AT175" s="11"/>
      <c r="AU175" s="11"/>
      <c r="AV175" s="11"/>
      <c r="AW175" s="11"/>
      <c r="AX175" s="11"/>
      <c r="AY175" s="11"/>
      <c r="AZ175" s="11"/>
    </row>
    <row r="176" ht="15.75" customHeight="1">
      <c r="A176" s="12"/>
      <c r="B176" s="13"/>
      <c r="C176" s="14"/>
      <c r="D176" s="15"/>
      <c r="E176" s="15"/>
      <c r="F176" s="15"/>
      <c r="G176" s="15"/>
      <c r="H176" s="15"/>
      <c r="I176" s="15"/>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8"/>
      <c r="AL176" s="9"/>
      <c r="AM176" s="9"/>
      <c r="AN176" s="11"/>
      <c r="AO176" s="11"/>
      <c r="AP176" s="11"/>
      <c r="AQ176" s="11"/>
      <c r="AR176" s="11"/>
      <c r="AS176" s="11"/>
      <c r="AT176" s="11"/>
      <c r="AU176" s="11"/>
      <c r="AV176" s="11"/>
      <c r="AW176" s="11"/>
      <c r="AX176" s="11"/>
      <c r="AY176" s="11"/>
      <c r="AZ176" s="11"/>
    </row>
    <row r="177" ht="15.75" customHeight="1">
      <c r="A177" s="12"/>
      <c r="B177" s="13"/>
      <c r="C177" s="14"/>
      <c r="D177" s="15"/>
      <c r="E177" s="15"/>
      <c r="F177" s="15"/>
      <c r="G177" s="15"/>
      <c r="H177" s="15"/>
      <c r="I177" s="15"/>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8"/>
      <c r="AL177" s="9"/>
      <c r="AM177" s="9"/>
      <c r="AN177" s="11"/>
      <c r="AO177" s="11"/>
      <c r="AP177" s="11"/>
      <c r="AQ177" s="11"/>
      <c r="AR177" s="11"/>
      <c r="AS177" s="11"/>
      <c r="AT177" s="11"/>
      <c r="AU177" s="11"/>
      <c r="AV177" s="11"/>
      <c r="AW177" s="11"/>
      <c r="AX177" s="11"/>
      <c r="AY177" s="11"/>
      <c r="AZ177" s="11"/>
    </row>
    <row r="178" ht="15.75" customHeight="1">
      <c r="A178" s="12"/>
      <c r="B178" s="13"/>
      <c r="C178" s="14"/>
      <c r="D178" s="15"/>
      <c r="E178" s="15"/>
      <c r="F178" s="15"/>
      <c r="G178" s="15"/>
      <c r="H178" s="15"/>
      <c r="I178" s="15"/>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8"/>
      <c r="AL178" s="9"/>
      <c r="AM178" s="9"/>
      <c r="AN178" s="11"/>
      <c r="AO178" s="11"/>
      <c r="AP178" s="11"/>
      <c r="AQ178" s="11"/>
      <c r="AR178" s="11"/>
      <c r="AS178" s="11"/>
      <c r="AT178" s="11"/>
      <c r="AU178" s="11"/>
      <c r="AV178" s="11"/>
      <c r="AW178" s="11"/>
      <c r="AX178" s="11"/>
      <c r="AY178" s="11"/>
      <c r="AZ178" s="11"/>
    </row>
    <row r="179" ht="15.75" customHeight="1">
      <c r="A179" s="12"/>
      <c r="B179" s="13"/>
      <c r="C179" s="14"/>
      <c r="D179" s="15"/>
      <c r="E179" s="15"/>
      <c r="F179" s="15"/>
      <c r="G179" s="15"/>
      <c r="H179" s="15"/>
      <c r="I179" s="15"/>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8"/>
      <c r="AL179" s="9"/>
      <c r="AM179" s="9"/>
      <c r="AN179" s="11"/>
      <c r="AO179" s="11"/>
      <c r="AP179" s="11"/>
      <c r="AQ179" s="11"/>
      <c r="AR179" s="11"/>
      <c r="AS179" s="11"/>
      <c r="AT179" s="11"/>
      <c r="AU179" s="11"/>
      <c r="AV179" s="11"/>
      <c r="AW179" s="11"/>
      <c r="AX179" s="11"/>
      <c r="AY179" s="11"/>
      <c r="AZ179" s="11"/>
    </row>
    <row r="180" ht="15.75" customHeight="1">
      <c r="A180" s="12"/>
      <c r="B180" s="13"/>
      <c r="C180" s="14"/>
      <c r="D180" s="15"/>
      <c r="E180" s="15"/>
      <c r="F180" s="15"/>
      <c r="G180" s="15"/>
      <c r="H180" s="15"/>
      <c r="I180" s="15"/>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8"/>
      <c r="AL180" s="9"/>
      <c r="AM180" s="9"/>
      <c r="AN180" s="11"/>
      <c r="AO180" s="11"/>
      <c r="AP180" s="11"/>
      <c r="AQ180" s="11"/>
      <c r="AR180" s="11"/>
      <c r="AS180" s="11"/>
      <c r="AT180" s="11"/>
      <c r="AU180" s="11"/>
      <c r="AV180" s="11"/>
      <c r="AW180" s="11"/>
      <c r="AX180" s="11"/>
      <c r="AY180" s="11"/>
      <c r="AZ180" s="11"/>
    </row>
    <row r="181" ht="15.75" customHeight="1">
      <c r="A181" s="12"/>
      <c r="B181" s="13"/>
      <c r="C181" s="14"/>
      <c r="D181" s="15"/>
      <c r="E181" s="15"/>
      <c r="F181" s="15"/>
      <c r="G181" s="15"/>
      <c r="H181" s="15"/>
      <c r="I181" s="15"/>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8"/>
      <c r="AL181" s="9"/>
      <c r="AM181" s="9"/>
      <c r="AN181" s="11"/>
      <c r="AO181" s="11"/>
      <c r="AP181" s="11"/>
      <c r="AQ181" s="11"/>
      <c r="AR181" s="11"/>
      <c r="AS181" s="11"/>
      <c r="AT181" s="11"/>
      <c r="AU181" s="11"/>
      <c r="AV181" s="11"/>
      <c r="AW181" s="11"/>
      <c r="AX181" s="11"/>
      <c r="AY181" s="11"/>
      <c r="AZ181" s="11"/>
    </row>
    <row r="182" ht="15.75" customHeight="1">
      <c r="A182" s="12"/>
      <c r="B182" s="13"/>
      <c r="C182" s="14"/>
      <c r="D182" s="15"/>
      <c r="E182" s="15"/>
      <c r="F182" s="15"/>
      <c r="G182" s="15"/>
      <c r="H182" s="15"/>
      <c r="I182" s="15"/>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8"/>
      <c r="AL182" s="9"/>
      <c r="AM182" s="9"/>
      <c r="AN182" s="11"/>
      <c r="AO182" s="11"/>
      <c r="AP182" s="11"/>
      <c r="AQ182" s="11"/>
      <c r="AR182" s="11"/>
      <c r="AS182" s="11"/>
      <c r="AT182" s="11"/>
      <c r="AU182" s="11"/>
      <c r="AV182" s="11"/>
      <c r="AW182" s="11"/>
      <c r="AX182" s="11"/>
      <c r="AY182" s="11"/>
      <c r="AZ182" s="11"/>
    </row>
    <row r="183" ht="15.75" customHeight="1">
      <c r="A183" s="12"/>
      <c r="B183" s="13"/>
      <c r="C183" s="14"/>
      <c r="D183" s="15"/>
      <c r="E183" s="15"/>
      <c r="F183" s="15"/>
      <c r="G183" s="15"/>
      <c r="H183" s="15"/>
      <c r="I183" s="15"/>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8"/>
      <c r="AL183" s="9"/>
      <c r="AM183" s="9"/>
      <c r="AN183" s="11"/>
      <c r="AO183" s="11"/>
      <c r="AP183" s="11"/>
      <c r="AQ183" s="11"/>
      <c r="AR183" s="11"/>
      <c r="AS183" s="11"/>
      <c r="AT183" s="11"/>
      <c r="AU183" s="11"/>
      <c r="AV183" s="11"/>
      <c r="AW183" s="11"/>
      <c r="AX183" s="11"/>
      <c r="AY183" s="11"/>
      <c r="AZ183" s="11"/>
    </row>
    <row r="184" ht="15.75" customHeight="1">
      <c r="A184" s="12"/>
      <c r="B184" s="13"/>
      <c r="C184" s="14"/>
      <c r="D184" s="15"/>
      <c r="E184" s="15"/>
      <c r="F184" s="15"/>
      <c r="G184" s="15"/>
      <c r="H184" s="15"/>
      <c r="I184" s="15"/>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8"/>
      <c r="AL184" s="9"/>
      <c r="AM184" s="9"/>
      <c r="AN184" s="11"/>
      <c r="AO184" s="11"/>
      <c r="AP184" s="11"/>
      <c r="AQ184" s="11"/>
      <c r="AR184" s="11"/>
      <c r="AS184" s="11"/>
      <c r="AT184" s="11"/>
      <c r="AU184" s="11"/>
      <c r="AV184" s="11"/>
      <c r="AW184" s="11"/>
      <c r="AX184" s="11"/>
      <c r="AY184" s="11"/>
      <c r="AZ184" s="11"/>
    </row>
    <row r="185" ht="15.75" customHeight="1">
      <c r="A185" s="12"/>
      <c r="B185" s="13"/>
      <c r="C185" s="14"/>
      <c r="D185" s="15"/>
      <c r="E185" s="15"/>
      <c r="F185" s="15"/>
      <c r="G185" s="15"/>
      <c r="H185" s="15"/>
      <c r="I185" s="15"/>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8"/>
      <c r="AL185" s="9"/>
      <c r="AM185" s="9"/>
      <c r="AN185" s="11"/>
      <c r="AO185" s="11"/>
      <c r="AP185" s="11"/>
      <c r="AQ185" s="11"/>
      <c r="AR185" s="11"/>
      <c r="AS185" s="11"/>
      <c r="AT185" s="11"/>
      <c r="AU185" s="11"/>
      <c r="AV185" s="11"/>
      <c r="AW185" s="11"/>
      <c r="AX185" s="11"/>
      <c r="AY185" s="11"/>
      <c r="AZ185" s="11"/>
    </row>
    <row r="186" ht="15.75" customHeight="1">
      <c r="A186" s="12"/>
      <c r="B186" s="13"/>
      <c r="C186" s="14"/>
      <c r="D186" s="15"/>
      <c r="E186" s="15"/>
      <c r="F186" s="15"/>
      <c r="G186" s="15"/>
      <c r="H186" s="15"/>
      <c r="I186" s="15"/>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8"/>
      <c r="AL186" s="9"/>
      <c r="AM186" s="9"/>
      <c r="AN186" s="11"/>
      <c r="AO186" s="11"/>
      <c r="AP186" s="11"/>
      <c r="AQ186" s="11"/>
      <c r="AR186" s="11"/>
      <c r="AS186" s="11"/>
      <c r="AT186" s="11"/>
      <c r="AU186" s="11"/>
      <c r="AV186" s="11"/>
      <c r="AW186" s="11"/>
      <c r="AX186" s="11"/>
      <c r="AY186" s="11"/>
      <c r="AZ186" s="11"/>
    </row>
    <row r="187" ht="15.75" customHeight="1">
      <c r="A187" s="12"/>
      <c r="B187" s="13"/>
      <c r="C187" s="14"/>
      <c r="D187" s="15"/>
      <c r="E187" s="15"/>
      <c r="F187" s="15"/>
      <c r="G187" s="15"/>
      <c r="H187" s="15"/>
      <c r="I187" s="15"/>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8"/>
      <c r="AL187" s="9"/>
      <c r="AM187" s="9"/>
      <c r="AN187" s="11"/>
      <c r="AO187" s="11"/>
      <c r="AP187" s="11"/>
      <c r="AQ187" s="11"/>
      <c r="AR187" s="11"/>
      <c r="AS187" s="11"/>
      <c r="AT187" s="11"/>
      <c r="AU187" s="11"/>
      <c r="AV187" s="11"/>
      <c r="AW187" s="11"/>
      <c r="AX187" s="11"/>
      <c r="AY187" s="11"/>
      <c r="AZ187" s="11"/>
    </row>
    <row r="188" ht="15.75" customHeight="1">
      <c r="A188" s="12"/>
      <c r="B188" s="13"/>
      <c r="C188" s="14"/>
      <c r="D188" s="15"/>
      <c r="E188" s="15"/>
      <c r="F188" s="15"/>
      <c r="G188" s="15"/>
      <c r="H188" s="15"/>
      <c r="I188" s="15"/>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8"/>
      <c r="AL188" s="9"/>
      <c r="AM188" s="9"/>
      <c r="AN188" s="11"/>
      <c r="AO188" s="11"/>
      <c r="AP188" s="11"/>
      <c r="AQ188" s="11"/>
      <c r="AR188" s="11"/>
      <c r="AS188" s="11"/>
      <c r="AT188" s="11"/>
      <c r="AU188" s="11"/>
      <c r="AV188" s="11"/>
      <c r="AW188" s="11"/>
      <c r="AX188" s="11"/>
      <c r="AY188" s="11"/>
      <c r="AZ188" s="11"/>
    </row>
    <row r="189" ht="15.75" customHeight="1">
      <c r="A189" s="12"/>
      <c r="B189" s="13"/>
      <c r="C189" s="14"/>
      <c r="D189" s="15"/>
      <c r="E189" s="15"/>
      <c r="F189" s="15"/>
      <c r="G189" s="15"/>
      <c r="H189" s="15"/>
      <c r="I189" s="15"/>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8"/>
      <c r="AL189" s="9"/>
      <c r="AM189" s="9"/>
      <c r="AN189" s="11"/>
      <c r="AO189" s="11"/>
      <c r="AP189" s="11"/>
      <c r="AQ189" s="11"/>
      <c r="AR189" s="11"/>
      <c r="AS189" s="11"/>
      <c r="AT189" s="11"/>
      <c r="AU189" s="11"/>
      <c r="AV189" s="11"/>
      <c r="AW189" s="11"/>
      <c r="AX189" s="11"/>
      <c r="AY189" s="11"/>
      <c r="AZ189" s="11"/>
    </row>
    <row r="190" ht="15.75" customHeight="1">
      <c r="A190" s="12"/>
      <c r="B190" s="13"/>
      <c r="C190" s="14"/>
      <c r="D190" s="15"/>
      <c r="E190" s="15"/>
      <c r="F190" s="15"/>
      <c r="G190" s="15"/>
      <c r="H190" s="15"/>
      <c r="I190" s="15"/>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8"/>
      <c r="AL190" s="9"/>
      <c r="AM190" s="9"/>
      <c r="AN190" s="11"/>
      <c r="AO190" s="11"/>
      <c r="AP190" s="11"/>
      <c r="AQ190" s="11"/>
      <c r="AR190" s="11"/>
      <c r="AS190" s="11"/>
      <c r="AT190" s="11"/>
      <c r="AU190" s="11"/>
      <c r="AV190" s="11"/>
      <c r="AW190" s="11"/>
      <c r="AX190" s="11"/>
      <c r="AY190" s="11"/>
      <c r="AZ190" s="11"/>
    </row>
    <row r="191" ht="15.75" customHeight="1">
      <c r="A191" s="12"/>
      <c r="B191" s="13"/>
      <c r="C191" s="14"/>
      <c r="D191" s="15"/>
      <c r="E191" s="15"/>
      <c r="F191" s="15"/>
      <c r="G191" s="15"/>
      <c r="H191" s="15"/>
      <c r="I191" s="15"/>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8"/>
      <c r="AL191" s="9"/>
      <c r="AM191" s="9"/>
      <c r="AN191" s="11"/>
      <c r="AO191" s="11"/>
      <c r="AP191" s="11"/>
      <c r="AQ191" s="11"/>
      <c r="AR191" s="11"/>
      <c r="AS191" s="11"/>
      <c r="AT191" s="11"/>
      <c r="AU191" s="11"/>
      <c r="AV191" s="11"/>
      <c r="AW191" s="11"/>
      <c r="AX191" s="11"/>
      <c r="AY191" s="11"/>
      <c r="AZ191" s="11"/>
    </row>
    <row r="192" ht="15.75" customHeight="1">
      <c r="A192" s="12"/>
      <c r="B192" s="13"/>
      <c r="C192" s="14"/>
      <c r="D192" s="15"/>
      <c r="E192" s="15"/>
      <c r="F192" s="15"/>
      <c r="G192" s="15"/>
      <c r="H192" s="15"/>
      <c r="I192" s="15"/>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8"/>
      <c r="AL192" s="9"/>
      <c r="AM192" s="9"/>
      <c r="AN192" s="11"/>
      <c r="AO192" s="11"/>
      <c r="AP192" s="11"/>
      <c r="AQ192" s="11"/>
      <c r="AR192" s="11"/>
      <c r="AS192" s="11"/>
      <c r="AT192" s="11"/>
      <c r="AU192" s="11"/>
      <c r="AV192" s="11"/>
      <c r="AW192" s="11"/>
      <c r="AX192" s="11"/>
      <c r="AY192" s="11"/>
      <c r="AZ192" s="11"/>
    </row>
    <row r="193" ht="15.75" customHeight="1">
      <c r="A193" s="12"/>
      <c r="B193" s="13"/>
      <c r="C193" s="14"/>
      <c r="D193" s="15"/>
      <c r="E193" s="15"/>
      <c r="F193" s="15"/>
      <c r="G193" s="15"/>
      <c r="H193" s="15"/>
      <c r="I193" s="15"/>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8"/>
      <c r="AL193" s="9"/>
      <c r="AM193" s="9"/>
      <c r="AN193" s="11"/>
      <c r="AO193" s="11"/>
      <c r="AP193" s="11"/>
      <c r="AQ193" s="11"/>
      <c r="AR193" s="11"/>
      <c r="AS193" s="11"/>
      <c r="AT193" s="11"/>
      <c r="AU193" s="11"/>
      <c r="AV193" s="11"/>
      <c r="AW193" s="11"/>
      <c r="AX193" s="11"/>
      <c r="AY193" s="11"/>
      <c r="AZ193" s="11"/>
    </row>
    <row r="194" ht="15.75" customHeight="1">
      <c r="A194" s="12"/>
      <c r="B194" s="13"/>
      <c r="C194" s="14"/>
      <c r="D194" s="15"/>
      <c r="E194" s="15"/>
      <c r="F194" s="15"/>
      <c r="G194" s="15"/>
      <c r="H194" s="15"/>
      <c r="I194" s="15"/>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8"/>
      <c r="AL194" s="9"/>
      <c r="AM194" s="9"/>
      <c r="AN194" s="11"/>
      <c r="AO194" s="11"/>
      <c r="AP194" s="11"/>
      <c r="AQ194" s="11"/>
      <c r="AR194" s="11"/>
      <c r="AS194" s="11"/>
      <c r="AT194" s="11"/>
      <c r="AU194" s="11"/>
      <c r="AV194" s="11"/>
      <c r="AW194" s="11"/>
      <c r="AX194" s="11"/>
      <c r="AY194" s="11"/>
      <c r="AZ194" s="11"/>
    </row>
    <row r="195" ht="15.75" customHeight="1">
      <c r="A195" s="12"/>
      <c r="B195" s="13"/>
      <c r="C195" s="14"/>
      <c r="D195" s="15"/>
      <c r="E195" s="15"/>
      <c r="F195" s="15"/>
      <c r="G195" s="15"/>
      <c r="H195" s="15"/>
      <c r="I195" s="15"/>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8"/>
      <c r="AL195" s="9"/>
      <c r="AM195" s="9"/>
      <c r="AN195" s="11"/>
      <c r="AO195" s="11"/>
      <c r="AP195" s="11"/>
      <c r="AQ195" s="11"/>
      <c r="AR195" s="11"/>
      <c r="AS195" s="11"/>
      <c r="AT195" s="11"/>
      <c r="AU195" s="11"/>
      <c r="AV195" s="11"/>
      <c r="AW195" s="11"/>
      <c r="AX195" s="11"/>
      <c r="AY195" s="11"/>
      <c r="AZ195" s="11"/>
    </row>
    <row r="196" ht="15.75" customHeight="1">
      <c r="A196" s="12"/>
      <c r="B196" s="13"/>
      <c r="C196" s="14"/>
      <c r="D196" s="15"/>
      <c r="E196" s="15"/>
      <c r="F196" s="15"/>
      <c r="G196" s="15"/>
      <c r="H196" s="15"/>
      <c r="I196" s="15"/>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8"/>
      <c r="AL196" s="9"/>
      <c r="AM196" s="9"/>
      <c r="AN196" s="11"/>
      <c r="AO196" s="11"/>
      <c r="AP196" s="11"/>
      <c r="AQ196" s="11"/>
      <c r="AR196" s="11"/>
      <c r="AS196" s="11"/>
      <c r="AT196" s="11"/>
      <c r="AU196" s="11"/>
      <c r="AV196" s="11"/>
      <c r="AW196" s="11"/>
      <c r="AX196" s="11"/>
      <c r="AY196" s="11"/>
      <c r="AZ196" s="11"/>
    </row>
    <row r="197" ht="15.75" customHeight="1">
      <c r="A197" s="12"/>
      <c r="B197" s="13"/>
      <c r="C197" s="14"/>
      <c r="D197" s="15"/>
      <c r="E197" s="15"/>
      <c r="F197" s="15"/>
      <c r="G197" s="15"/>
      <c r="H197" s="15"/>
      <c r="I197" s="15"/>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8"/>
      <c r="AL197" s="9"/>
      <c r="AM197" s="9"/>
      <c r="AN197" s="11"/>
      <c r="AO197" s="11"/>
      <c r="AP197" s="11"/>
      <c r="AQ197" s="11"/>
      <c r="AR197" s="11"/>
      <c r="AS197" s="11"/>
      <c r="AT197" s="11"/>
      <c r="AU197" s="11"/>
      <c r="AV197" s="11"/>
      <c r="AW197" s="11"/>
      <c r="AX197" s="11"/>
      <c r="AY197" s="11"/>
      <c r="AZ197" s="11"/>
    </row>
    <row r="198" ht="15.75" customHeight="1">
      <c r="A198" s="12"/>
      <c r="B198" s="13"/>
      <c r="C198" s="14"/>
      <c r="D198" s="15"/>
      <c r="E198" s="15"/>
      <c r="F198" s="15"/>
      <c r="G198" s="15"/>
      <c r="H198" s="15"/>
      <c r="I198" s="15"/>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8"/>
      <c r="AL198" s="9"/>
      <c r="AM198" s="9"/>
      <c r="AN198" s="11"/>
      <c r="AO198" s="11"/>
      <c r="AP198" s="11"/>
      <c r="AQ198" s="11"/>
      <c r="AR198" s="11"/>
      <c r="AS198" s="11"/>
      <c r="AT198" s="11"/>
      <c r="AU198" s="11"/>
      <c r="AV198" s="11"/>
      <c r="AW198" s="11"/>
      <c r="AX198" s="11"/>
      <c r="AY198" s="11"/>
      <c r="AZ198" s="11"/>
    </row>
    <row r="199" ht="15.75" customHeight="1">
      <c r="A199" s="12"/>
      <c r="B199" s="13"/>
      <c r="C199" s="14"/>
      <c r="D199" s="15"/>
      <c r="E199" s="15"/>
      <c r="F199" s="15"/>
      <c r="G199" s="15"/>
      <c r="H199" s="15"/>
      <c r="I199" s="15"/>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8"/>
      <c r="AL199" s="9"/>
      <c r="AM199" s="9"/>
      <c r="AN199" s="11"/>
      <c r="AO199" s="11"/>
      <c r="AP199" s="11"/>
      <c r="AQ199" s="11"/>
      <c r="AR199" s="11"/>
      <c r="AS199" s="11"/>
      <c r="AT199" s="11"/>
      <c r="AU199" s="11"/>
      <c r="AV199" s="11"/>
      <c r="AW199" s="11"/>
      <c r="AX199" s="11"/>
      <c r="AY199" s="11"/>
      <c r="AZ199" s="11"/>
    </row>
    <row r="200" ht="15.75" customHeight="1">
      <c r="A200" s="12"/>
      <c r="B200" s="13"/>
      <c r="C200" s="14"/>
      <c r="D200" s="15"/>
      <c r="E200" s="15"/>
      <c r="F200" s="15"/>
      <c r="G200" s="15"/>
      <c r="H200" s="15"/>
      <c r="I200" s="15"/>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8"/>
      <c r="AL200" s="9"/>
      <c r="AM200" s="9"/>
      <c r="AN200" s="11"/>
      <c r="AO200" s="11"/>
      <c r="AP200" s="11"/>
      <c r="AQ200" s="11"/>
      <c r="AR200" s="11"/>
      <c r="AS200" s="11"/>
      <c r="AT200" s="11"/>
      <c r="AU200" s="11"/>
      <c r="AV200" s="11"/>
      <c r="AW200" s="11"/>
      <c r="AX200" s="11"/>
      <c r="AY200" s="11"/>
      <c r="AZ200" s="11"/>
    </row>
    <row r="201" ht="15.75" customHeight="1">
      <c r="A201" s="12"/>
      <c r="B201" s="13"/>
      <c r="C201" s="14"/>
      <c r="D201" s="15"/>
      <c r="E201" s="15"/>
      <c r="F201" s="15"/>
      <c r="G201" s="15"/>
      <c r="H201" s="15"/>
      <c r="I201" s="15"/>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8"/>
      <c r="AL201" s="9"/>
      <c r="AM201" s="9"/>
      <c r="AN201" s="11"/>
      <c r="AO201" s="11"/>
      <c r="AP201" s="11"/>
      <c r="AQ201" s="11"/>
      <c r="AR201" s="11"/>
      <c r="AS201" s="11"/>
      <c r="AT201" s="11"/>
      <c r="AU201" s="11"/>
      <c r="AV201" s="11"/>
      <c r="AW201" s="11"/>
      <c r="AX201" s="11"/>
      <c r="AY201" s="11"/>
      <c r="AZ201" s="11"/>
    </row>
    <row r="202" ht="15.75" customHeight="1">
      <c r="A202" s="12"/>
      <c r="B202" s="13"/>
      <c r="C202" s="14"/>
      <c r="D202" s="15"/>
      <c r="E202" s="15"/>
      <c r="F202" s="15"/>
      <c r="G202" s="15"/>
      <c r="H202" s="15"/>
      <c r="I202" s="15"/>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8"/>
      <c r="AL202" s="9"/>
      <c r="AM202" s="9"/>
      <c r="AN202" s="11"/>
      <c r="AO202" s="11"/>
      <c r="AP202" s="11"/>
      <c r="AQ202" s="11"/>
      <c r="AR202" s="11"/>
      <c r="AS202" s="11"/>
      <c r="AT202" s="11"/>
      <c r="AU202" s="11"/>
      <c r="AV202" s="11"/>
      <c r="AW202" s="11"/>
      <c r="AX202" s="11"/>
      <c r="AY202" s="11"/>
      <c r="AZ202" s="11"/>
    </row>
    <row r="203" ht="15.75" customHeight="1">
      <c r="A203" s="12"/>
      <c r="B203" s="13"/>
      <c r="C203" s="14"/>
      <c r="D203" s="15"/>
      <c r="E203" s="15"/>
      <c r="F203" s="15"/>
      <c r="G203" s="15"/>
      <c r="H203" s="15"/>
      <c r="I203" s="15"/>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8"/>
      <c r="AL203" s="9"/>
      <c r="AM203" s="9"/>
      <c r="AN203" s="11"/>
      <c r="AO203" s="11"/>
      <c r="AP203" s="11"/>
      <c r="AQ203" s="11"/>
      <c r="AR203" s="11"/>
      <c r="AS203" s="11"/>
      <c r="AT203" s="11"/>
      <c r="AU203" s="11"/>
      <c r="AV203" s="11"/>
      <c r="AW203" s="11"/>
      <c r="AX203" s="11"/>
      <c r="AY203" s="11"/>
      <c r="AZ203" s="11"/>
    </row>
    <row r="204" ht="15.75" customHeight="1">
      <c r="A204" s="12"/>
      <c r="B204" s="13"/>
      <c r="C204" s="14"/>
      <c r="D204" s="15"/>
      <c r="E204" s="15"/>
      <c r="F204" s="15"/>
      <c r="G204" s="15"/>
      <c r="H204" s="15"/>
      <c r="I204" s="15"/>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8"/>
      <c r="AL204" s="9"/>
      <c r="AM204" s="9"/>
      <c r="AN204" s="11"/>
      <c r="AO204" s="11"/>
      <c r="AP204" s="11"/>
      <c r="AQ204" s="11"/>
      <c r="AR204" s="11"/>
      <c r="AS204" s="11"/>
      <c r="AT204" s="11"/>
      <c r="AU204" s="11"/>
      <c r="AV204" s="11"/>
      <c r="AW204" s="11"/>
      <c r="AX204" s="11"/>
      <c r="AY204" s="11"/>
      <c r="AZ204" s="11"/>
    </row>
    <row r="205" ht="15.75" customHeight="1">
      <c r="A205" s="12"/>
      <c r="B205" s="13"/>
      <c r="C205" s="14"/>
      <c r="D205" s="15"/>
      <c r="E205" s="15"/>
      <c r="F205" s="15"/>
      <c r="G205" s="15"/>
      <c r="H205" s="15"/>
      <c r="I205" s="15"/>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8"/>
      <c r="AL205" s="9"/>
      <c r="AM205" s="9"/>
      <c r="AN205" s="11"/>
      <c r="AO205" s="11"/>
      <c r="AP205" s="11"/>
      <c r="AQ205" s="11"/>
      <c r="AR205" s="11"/>
      <c r="AS205" s="11"/>
      <c r="AT205" s="11"/>
      <c r="AU205" s="11"/>
      <c r="AV205" s="11"/>
      <c r="AW205" s="11"/>
      <c r="AX205" s="11"/>
      <c r="AY205" s="11"/>
      <c r="AZ205" s="11"/>
    </row>
    <row r="206" ht="15.75" customHeight="1">
      <c r="A206" s="12"/>
      <c r="B206" s="13"/>
      <c r="C206" s="14"/>
      <c r="D206" s="15"/>
      <c r="E206" s="15"/>
      <c r="F206" s="15"/>
      <c r="G206" s="15"/>
      <c r="H206" s="15"/>
      <c r="I206" s="15"/>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8"/>
      <c r="AL206" s="9"/>
      <c r="AM206" s="9"/>
      <c r="AN206" s="11"/>
      <c r="AO206" s="11"/>
      <c r="AP206" s="11"/>
      <c r="AQ206" s="11"/>
      <c r="AR206" s="11"/>
      <c r="AS206" s="11"/>
      <c r="AT206" s="11"/>
      <c r="AU206" s="11"/>
      <c r="AV206" s="11"/>
      <c r="AW206" s="11"/>
      <c r="AX206" s="11"/>
      <c r="AY206" s="11"/>
      <c r="AZ206" s="11"/>
    </row>
    <row r="207" ht="15.75" customHeight="1">
      <c r="A207" s="12"/>
      <c r="B207" s="13"/>
      <c r="C207" s="14"/>
      <c r="D207" s="15"/>
      <c r="E207" s="15"/>
      <c r="F207" s="15"/>
      <c r="G207" s="15"/>
      <c r="H207" s="15"/>
      <c r="I207" s="15"/>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8"/>
      <c r="AL207" s="9"/>
      <c r="AM207" s="9"/>
      <c r="AN207" s="11"/>
      <c r="AO207" s="11"/>
      <c r="AP207" s="11"/>
      <c r="AQ207" s="11"/>
      <c r="AR207" s="11"/>
      <c r="AS207" s="11"/>
      <c r="AT207" s="11"/>
      <c r="AU207" s="11"/>
      <c r="AV207" s="11"/>
      <c r="AW207" s="11"/>
      <c r="AX207" s="11"/>
      <c r="AY207" s="11"/>
      <c r="AZ207" s="11"/>
    </row>
    <row r="208" ht="15.75" customHeight="1">
      <c r="A208" s="12"/>
      <c r="B208" s="13"/>
      <c r="C208" s="14"/>
      <c r="D208" s="15"/>
      <c r="E208" s="15"/>
      <c r="F208" s="15"/>
      <c r="G208" s="15"/>
      <c r="H208" s="15"/>
      <c r="I208" s="15"/>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8"/>
      <c r="AL208" s="9"/>
      <c r="AM208" s="9"/>
      <c r="AN208" s="11"/>
      <c r="AO208" s="11"/>
      <c r="AP208" s="11"/>
      <c r="AQ208" s="11"/>
      <c r="AR208" s="11"/>
      <c r="AS208" s="11"/>
      <c r="AT208" s="11"/>
      <c r="AU208" s="11"/>
      <c r="AV208" s="11"/>
      <c r="AW208" s="11"/>
      <c r="AX208" s="11"/>
      <c r="AY208" s="11"/>
      <c r="AZ208" s="11"/>
    </row>
    <row r="209" ht="15.75" customHeight="1">
      <c r="A209" s="12"/>
      <c r="B209" s="13"/>
      <c r="C209" s="14"/>
      <c r="D209" s="15"/>
      <c r="E209" s="15"/>
      <c r="F209" s="15"/>
      <c r="G209" s="15"/>
      <c r="H209" s="15"/>
      <c r="I209" s="15"/>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8"/>
      <c r="AL209" s="9"/>
      <c r="AM209" s="9"/>
      <c r="AN209" s="11"/>
      <c r="AO209" s="11"/>
      <c r="AP209" s="11"/>
      <c r="AQ209" s="11"/>
      <c r="AR209" s="11"/>
      <c r="AS209" s="11"/>
      <c r="AT209" s="11"/>
      <c r="AU209" s="11"/>
      <c r="AV209" s="11"/>
      <c r="AW209" s="11"/>
      <c r="AX209" s="11"/>
      <c r="AY209" s="11"/>
      <c r="AZ209" s="11"/>
    </row>
    <row r="210" ht="15.75" customHeight="1">
      <c r="A210" s="12"/>
      <c r="B210" s="13"/>
      <c r="C210" s="14"/>
      <c r="D210" s="15"/>
      <c r="E210" s="15"/>
      <c r="F210" s="15"/>
      <c r="G210" s="15"/>
      <c r="H210" s="15"/>
      <c r="I210" s="15"/>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8"/>
      <c r="AL210" s="9"/>
      <c r="AM210" s="9"/>
      <c r="AN210" s="11"/>
      <c r="AO210" s="11"/>
      <c r="AP210" s="11"/>
      <c r="AQ210" s="11"/>
      <c r="AR210" s="11"/>
      <c r="AS210" s="11"/>
      <c r="AT210" s="11"/>
      <c r="AU210" s="11"/>
      <c r="AV210" s="11"/>
      <c r="AW210" s="11"/>
      <c r="AX210" s="11"/>
      <c r="AY210" s="11"/>
      <c r="AZ210" s="11"/>
    </row>
    <row r="211" ht="15.75" customHeight="1">
      <c r="A211" s="12"/>
      <c r="B211" s="13"/>
      <c r="C211" s="14"/>
      <c r="D211" s="15"/>
      <c r="E211" s="15"/>
      <c r="F211" s="15"/>
      <c r="G211" s="15"/>
      <c r="H211" s="15"/>
      <c r="I211" s="15"/>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8"/>
      <c r="AL211" s="9"/>
      <c r="AM211" s="9"/>
      <c r="AN211" s="11"/>
      <c r="AO211" s="11"/>
      <c r="AP211" s="11"/>
      <c r="AQ211" s="11"/>
      <c r="AR211" s="11"/>
      <c r="AS211" s="11"/>
      <c r="AT211" s="11"/>
      <c r="AU211" s="11"/>
      <c r="AV211" s="11"/>
      <c r="AW211" s="11"/>
      <c r="AX211" s="11"/>
      <c r="AY211" s="11"/>
      <c r="AZ211" s="11"/>
    </row>
    <row r="212" ht="15.75" customHeight="1">
      <c r="A212" s="12"/>
      <c r="B212" s="13"/>
      <c r="C212" s="14"/>
      <c r="D212" s="15"/>
      <c r="E212" s="15"/>
      <c r="F212" s="15"/>
      <c r="G212" s="15"/>
      <c r="H212" s="15"/>
      <c r="I212" s="15"/>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8"/>
      <c r="AL212" s="9"/>
      <c r="AM212" s="9"/>
      <c r="AN212" s="11"/>
      <c r="AO212" s="11"/>
      <c r="AP212" s="11"/>
      <c r="AQ212" s="11"/>
      <c r="AR212" s="11"/>
      <c r="AS212" s="11"/>
      <c r="AT212" s="11"/>
      <c r="AU212" s="11"/>
      <c r="AV212" s="11"/>
      <c r="AW212" s="11"/>
      <c r="AX212" s="11"/>
      <c r="AY212" s="11"/>
      <c r="AZ212" s="11"/>
    </row>
    <row r="213" ht="15.75" customHeight="1">
      <c r="A213" s="12"/>
      <c r="B213" s="13"/>
      <c r="C213" s="14"/>
      <c r="D213" s="15"/>
      <c r="E213" s="15"/>
      <c r="F213" s="15"/>
      <c r="G213" s="15"/>
      <c r="H213" s="15"/>
      <c r="I213" s="15"/>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8"/>
      <c r="AL213" s="9"/>
      <c r="AM213" s="9"/>
      <c r="AN213" s="11"/>
      <c r="AO213" s="11"/>
      <c r="AP213" s="11"/>
      <c r="AQ213" s="11"/>
      <c r="AR213" s="11"/>
      <c r="AS213" s="11"/>
      <c r="AT213" s="11"/>
      <c r="AU213" s="11"/>
      <c r="AV213" s="11"/>
      <c r="AW213" s="11"/>
      <c r="AX213" s="11"/>
      <c r="AY213" s="11"/>
      <c r="AZ213" s="11"/>
    </row>
    <row r="214" ht="15.75" customHeight="1">
      <c r="A214" s="12"/>
      <c r="B214" s="13"/>
      <c r="C214" s="14"/>
      <c r="D214" s="15"/>
      <c r="E214" s="15"/>
      <c r="F214" s="15"/>
      <c r="G214" s="15"/>
      <c r="H214" s="15"/>
      <c r="I214" s="15"/>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8"/>
      <c r="AL214" s="9"/>
      <c r="AM214" s="9"/>
      <c r="AN214" s="11"/>
      <c r="AO214" s="11"/>
      <c r="AP214" s="11"/>
      <c r="AQ214" s="11"/>
      <c r="AR214" s="11"/>
      <c r="AS214" s="11"/>
      <c r="AT214" s="11"/>
      <c r="AU214" s="11"/>
      <c r="AV214" s="11"/>
      <c r="AW214" s="11"/>
      <c r="AX214" s="11"/>
      <c r="AY214" s="11"/>
      <c r="AZ214" s="11"/>
    </row>
    <row r="215" ht="15.75" customHeight="1">
      <c r="A215" s="12"/>
      <c r="B215" s="13"/>
      <c r="C215" s="14"/>
      <c r="D215" s="15"/>
      <c r="E215" s="15"/>
      <c r="F215" s="15"/>
      <c r="G215" s="15"/>
      <c r="H215" s="15"/>
      <c r="I215" s="15"/>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8"/>
      <c r="AL215" s="9"/>
      <c r="AM215" s="9"/>
      <c r="AN215" s="11"/>
      <c r="AO215" s="11"/>
      <c r="AP215" s="11"/>
      <c r="AQ215" s="11"/>
      <c r="AR215" s="11"/>
      <c r="AS215" s="11"/>
      <c r="AT215" s="11"/>
      <c r="AU215" s="11"/>
      <c r="AV215" s="11"/>
      <c r="AW215" s="11"/>
      <c r="AX215" s="11"/>
      <c r="AY215" s="11"/>
      <c r="AZ215" s="11"/>
    </row>
    <row r="216" ht="15.75" customHeight="1">
      <c r="A216" s="12"/>
      <c r="B216" s="13"/>
      <c r="C216" s="14"/>
      <c r="D216" s="15"/>
      <c r="E216" s="15"/>
      <c r="F216" s="15"/>
      <c r="G216" s="15"/>
      <c r="H216" s="15"/>
      <c r="I216" s="15"/>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8"/>
      <c r="AL216" s="9"/>
      <c r="AM216" s="9"/>
      <c r="AN216" s="11"/>
      <c r="AO216" s="11"/>
      <c r="AP216" s="11"/>
      <c r="AQ216" s="11"/>
      <c r="AR216" s="11"/>
      <c r="AS216" s="11"/>
      <c r="AT216" s="11"/>
      <c r="AU216" s="11"/>
      <c r="AV216" s="11"/>
      <c r="AW216" s="11"/>
      <c r="AX216" s="11"/>
      <c r="AY216" s="11"/>
      <c r="AZ216" s="11"/>
    </row>
    <row r="217" ht="15.75" customHeight="1">
      <c r="A217" s="12"/>
      <c r="B217" s="13"/>
      <c r="C217" s="14"/>
      <c r="D217" s="15"/>
      <c r="E217" s="15"/>
      <c r="F217" s="15"/>
      <c r="G217" s="15"/>
      <c r="H217" s="15"/>
      <c r="I217" s="15"/>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8"/>
      <c r="AL217" s="9"/>
      <c r="AM217" s="9"/>
      <c r="AN217" s="11"/>
      <c r="AO217" s="11"/>
      <c r="AP217" s="11"/>
      <c r="AQ217" s="11"/>
      <c r="AR217" s="11"/>
      <c r="AS217" s="11"/>
      <c r="AT217" s="11"/>
      <c r="AU217" s="11"/>
      <c r="AV217" s="11"/>
      <c r="AW217" s="11"/>
      <c r="AX217" s="11"/>
      <c r="AY217" s="11"/>
      <c r="AZ217" s="11"/>
    </row>
    <row r="218" ht="15.75" customHeight="1">
      <c r="A218" s="12"/>
      <c r="B218" s="13"/>
      <c r="C218" s="14"/>
      <c r="D218" s="15"/>
      <c r="E218" s="15"/>
      <c r="F218" s="15"/>
      <c r="G218" s="15"/>
      <c r="H218" s="15"/>
      <c r="I218" s="15"/>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8"/>
      <c r="AL218" s="9"/>
      <c r="AM218" s="9"/>
      <c r="AN218" s="11"/>
      <c r="AO218" s="11"/>
      <c r="AP218" s="11"/>
      <c r="AQ218" s="11"/>
      <c r="AR218" s="11"/>
      <c r="AS218" s="11"/>
      <c r="AT218" s="11"/>
      <c r="AU218" s="11"/>
      <c r="AV218" s="11"/>
      <c r="AW218" s="11"/>
      <c r="AX218" s="11"/>
      <c r="AY218" s="11"/>
      <c r="AZ218" s="11"/>
    </row>
    <row r="219" ht="15.75" customHeight="1">
      <c r="A219" s="12"/>
      <c r="B219" s="13"/>
      <c r="C219" s="14"/>
      <c r="D219" s="15"/>
      <c r="E219" s="15"/>
      <c r="F219" s="15"/>
      <c r="G219" s="15"/>
      <c r="H219" s="15"/>
      <c r="I219" s="15"/>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8"/>
      <c r="AL219" s="9"/>
      <c r="AM219" s="9"/>
      <c r="AN219" s="11"/>
      <c r="AO219" s="11"/>
      <c r="AP219" s="11"/>
      <c r="AQ219" s="11"/>
      <c r="AR219" s="11"/>
      <c r="AS219" s="11"/>
      <c r="AT219" s="11"/>
      <c r="AU219" s="11"/>
      <c r="AV219" s="11"/>
      <c r="AW219" s="11"/>
      <c r="AX219" s="11"/>
      <c r="AY219" s="11"/>
      <c r="AZ219" s="11"/>
    </row>
    <row r="220" ht="15.75" customHeight="1">
      <c r="A220" s="12"/>
      <c r="B220" s="13"/>
      <c r="C220" s="14"/>
      <c r="D220" s="15"/>
      <c r="E220" s="15"/>
      <c r="F220" s="15"/>
      <c r="G220" s="15"/>
      <c r="H220" s="15"/>
      <c r="I220" s="15"/>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8"/>
      <c r="AL220" s="9"/>
      <c r="AM220" s="9"/>
      <c r="AN220" s="11"/>
      <c r="AO220" s="11"/>
      <c r="AP220" s="11"/>
      <c r="AQ220" s="11"/>
      <c r="AR220" s="11"/>
      <c r="AS220" s="11"/>
      <c r="AT220" s="11"/>
      <c r="AU220" s="11"/>
      <c r="AV220" s="11"/>
      <c r="AW220" s="11"/>
      <c r="AX220" s="11"/>
      <c r="AY220" s="11"/>
      <c r="AZ220" s="11"/>
    </row>
    <row r="221" ht="15.75" customHeight="1">
      <c r="A221" s="12"/>
      <c r="B221" s="13"/>
      <c r="C221" s="14"/>
      <c r="D221" s="15"/>
      <c r="E221" s="15"/>
      <c r="F221" s="15"/>
      <c r="G221" s="15"/>
      <c r="H221" s="15"/>
      <c r="I221" s="15"/>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8"/>
      <c r="AL221" s="9"/>
      <c r="AM221" s="9"/>
      <c r="AN221" s="11"/>
      <c r="AO221" s="11"/>
      <c r="AP221" s="11"/>
      <c r="AQ221" s="11"/>
      <c r="AR221" s="11"/>
      <c r="AS221" s="11"/>
      <c r="AT221" s="11"/>
      <c r="AU221" s="11"/>
      <c r="AV221" s="11"/>
      <c r="AW221" s="11"/>
      <c r="AX221" s="11"/>
      <c r="AY221" s="11"/>
      <c r="AZ221" s="11"/>
    </row>
    <row r="222" ht="15.75" customHeight="1">
      <c r="A222" s="12"/>
      <c r="B222" s="13"/>
      <c r="C222" s="14"/>
      <c r="D222" s="15"/>
      <c r="E222" s="15"/>
      <c r="F222" s="15"/>
      <c r="G222" s="15"/>
      <c r="H222" s="15"/>
      <c r="I222" s="15"/>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8"/>
      <c r="AL222" s="9"/>
      <c r="AM222" s="9"/>
      <c r="AN222" s="11"/>
      <c r="AO222" s="11"/>
      <c r="AP222" s="11"/>
      <c r="AQ222" s="11"/>
      <c r="AR222" s="11"/>
      <c r="AS222" s="11"/>
      <c r="AT222" s="11"/>
      <c r="AU222" s="11"/>
      <c r="AV222" s="11"/>
      <c r="AW222" s="11"/>
      <c r="AX222" s="11"/>
      <c r="AY222" s="11"/>
      <c r="AZ222" s="11"/>
    </row>
    <row r="223" ht="15.75" customHeight="1">
      <c r="A223" s="12"/>
      <c r="B223" s="13"/>
      <c r="C223" s="14"/>
      <c r="D223" s="15"/>
      <c r="E223" s="15"/>
      <c r="F223" s="15"/>
      <c r="G223" s="15"/>
      <c r="H223" s="15"/>
      <c r="I223" s="15"/>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8"/>
      <c r="AL223" s="9"/>
      <c r="AM223" s="9"/>
      <c r="AN223" s="11"/>
      <c r="AO223" s="11"/>
      <c r="AP223" s="11"/>
      <c r="AQ223" s="11"/>
      <c r="AR223" s="11"/>
      <c r="AS223" s="11"/>
      <c r="AT223" s="11"/>
      <c r="AU223" s="11"/>
      <c r="AV223" s="11"/>
      <c r="AW223" s="11"/>
      <c r="AX223" s="11"/>
      <c r="AY223" s="11"/>
      <c r="AZ223" s="11"/>
    </row>
    <row r="224" ht="15.75" customHeight="1">
      <c r="A224" s="12"/>
      <c r="B224" s="13"/>
      <c r="C224" s="14"/>
      <c r="D224" s="15"/>
      <c r="E224" s="15"/>
      <c r="F224" s="15"/>
      <c r="G224" s="15"/>
      <c r="H224" s="15"/>
      <c r="I224" s="15"/>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8"/>
      <c r="AL224" s="9"/>
      <c r="AM224" s="9"/>
      <c r="AN224" s="11"/>
      <c r="AO224" s="11"/>
      <c r="AP224" s="11"/>
      <c r="AQ224" s="11"/>
      <c r="AR224" s="11"/>
      <c r="AS224" s="11"/>
      <c r="AT224" s="11"/>
      <c r="AU224" s="11"/>
      <c r="AV224" s="11"/>
      <c r="AW224" s="11"/>
      <c r="AX224" s="11"/>
      <c r="AY224" s="11"/>
      <c r="AZ224" s="11"/>
    </row>
    <row r="225" ht="15.75" customHeight="1">
      <c r="A225" s="12"/>
      <c r="B225" s="13"/>
      <c r="C225" s="14"/>
      <c r="D225" s="15"/>
      <c r="E225" s="15"/>
      <c r="F225" s="15"/>
      <c r="G225" s="15"/>
      <c r="H225" s="15"/>
      <c r="I225" s="15"/>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8"/>
      <c r="AL225" s="9"/>
      <c r="AM225" s="9"/>
      <c r="AN225" s="11"/>
      <c r="AO225" s="11"/>
      <c r="AP225" s="11"/>
      <c r="AQ225" s="11"/>
      <c r="AR225" s="11"/>
      <c r="AS225" s="11"/>
      <c r="AT225" s="11"/>
      <c r="AU225" s="11"/>
      <c r="AV225" s="11"/>
      <c r="AW225" s="11"/>
      <c r="AX225" s="11"/>
      <c r="AY225" s="11"/>
      <c r="AZ225" s="11"/>
    </row>
    <row r="226" ht="15.75" customHeight="1">
      <c r="A226" s="12"/>
      <c r="B226" s="13"/>
      <c r="C226" s="14"/>
      <c r="D226" s="15"/>
      <c r="E226" s="15"/>
      <c r="F226" s="15"/>
      <c r="G226" s="15"/>
      <c r="H226" s="15"/>
      <c r="I226" s="15"/>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8"/>
      <c r="AL226" s="9"/>
      <c r="AM226" s="9"/>
      <c r="AN226" s="11"/>
      <c r="AO226" s="11"/>
      <c r="AP226" s="11"/>
      <c r="AQ226" s="11"/>
      <c r="AR226" s="11"/>
      <c r="AS226" s="11"/>
      <c r="AT226" s="11"/>
      <c r="AU226" s="11"/>
      <c r="AV226" s="11"/>
      <c r="AW226" s="11"/>
      <c r="AX226" s="11"/>
      <c r="AY226" s="11"/>
      <c r="AZ226" s="11"/>
    </row>
    <row r="227" ht="15.75" customHeight="1">
      <c r="A227" s="12"/>
      <c r="B227" s="13"/>
      <c r="C227" s="14"/>
      <c r="D227" s="15"/>
      <c r="E227" s="15"/>
      <c r="F227" s="15"/>
      <c r="G227" s="15"/>
      <c r="H227" s="15"/>
      <c r="I227" s="15"/>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8"/>
      <c r="AL227" s="9"/>
      <c r="AM227" s="9"/>
      <c r="AN227" s="11"/>
      <c r="AO227" s="11"/>
      <c r="AP227" s="11"/>
      <c r="AQ227" s="11"/>
      <c r="AR227" s="11"/>
      <c r="AS227" s="11"/>
      <c r="AT227" s="11"/>
      <c r="AU227" s="11"/>
      <c r="AV227" s="11"/>
      <c r="AW227" s="11"/>
      <c r="AX227" s="11"/>
      <c r="AY227" s="11"/>
      <c r="AZ227" s="11"/>
    </row>
    <row r="228" ht="15.75" customHeight="1">
      <c r="A228" s="12"/>
      <c r="B228" s="13"/>
      <c r="C228" s="14"/>
      <c r="D228" s="15"/>
      <c r="E228" s="15"/>
      <c r="F228" s="15"/>
      <c r="G228" s="15"/>
      <c r="H228" s="15"/>
      <c r="I228" s="15"/>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8"/>
      <c r="AL228" s="9"/>
      <c r="AM228" s="9"/>
      <c r="AN228" s="11"/>
      <c r="AO228" s="11"/>
      <c r="AP228" s="11"/>
      <c r="AQ228" s="11"/>
      <c r="AR228" s="11"/>
      <c r="AS228" s="11"/>
      <c r="AT228" s="11"/>
      <c r="AU228" s="11"/>
      <c r="AV228" s="11"/>
      <c r="AW228" s="11"/>
      <c r="AX228" s="11"/>
      <c r="AY228" s="11"/>
      <c r="AZ228" s="11"/>
    </row>
    <row r="229" ht="15.75" customHeight="1">
      <c r="A229" s="12"/>
      <c r="B229" s="13"/>
      <c r="C229" s="14"/>
      <c r="D229" s="15"/>
      <c r="E229" s="15"/>
      <c r="F229" s="15"/>
      <c r="G229" s="15"/>
      <c r="H229" s="15"/>
      <c r="I229" s="15"/>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8"/>
      <c r="AL229" s="9"/>
      <c r="AM229" s="9"/>
      <c r="AN229" s="11"/>
      <c r="AO229" s="11"/>
      <c r="AP229" s="11"/>
      <c r="AQ229" s="11"/>
      <c r="AR229" s="11"/>
      <c r="AS229" s="11"/>
      <c r="AT229" s="11"/>
      <c r="AU229" s="11"/>
      <c r="AV229" s="11"/>
      <c r="AW229" s="11"/>
      <c r="AX229" s="11"/>
      <c r="AY229" s="11"/>
      <c r="AZ229" s="11"/>
    </row>
    <row r="230" ht="15.75" customHeight="1">
      <c r="A230" s="12"/>
      <c r="B230" s="13"/>
      <c r="C230" s="14"/>
      <c r="D230" s="15"/>
      <c r="E230" s="15"/>
      <c r="F230" s="15"/>
      <c r="G230" s="15"/>
      <c r="H230" s="15"/>
      <c r="I230" s="15"/>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8"/>
      <c r="AL230" s="9"/>
      <c r="AM230" s="9"/>
      <c r="AN230" s="11"/>
      <c r="AO230" s="11"/>
      <c r="AP230" s="11"/>
      <c r="AQ230" s="11"/>
      <c r="AR230" s="11"/>
      <c r="AS230" s="11"/>
      <c r="AT230" s="11"/>
      <c r="AU230" s="11"/>
      <c r="AV230" s="11"/>
      <c r="AW230" s="11"/>
      <c r="AX230" s="11"/>
      <c r="AY230" s="11"/>
      <c r="AZ230" s="11"/>
    </row>
    <row r="231" ht="15.75" customHeight="1">
      <c r="A231" s="12"/>
      <c r="B231" s="13"/>
      <c r="C231" s="14"/>
      <c r="D231" s="15"/>
      <c r="E231" s="15"/>
      <c r="F231" s="15"/>
      <c r="G231" s="15"/>
      <c r="H231" s="15"/>
      <c r="I231" s="15"/>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8"/>
      <c r="AL231" s="9"/>
      <c r="AM231" s="9"/>
      <c r="AN231" s="11"/>
      <c r="AO231" s="11"/>
      <c r="AP231" s="11"/>
      <c r="AQ231" s="11"/>
      <c r="AR231" s="11"/>
      <c r="AS231" s="11"/>
      <c r="AT231" s="11"/>
      <c r="AU231" s="11"/>
      <c r="AV231" s="11"/>
      <c r="AW231" s="11"/>
      <c r="AX231" s="11"/>
      <c r="AY231" s="11"/>
      <c r="AZ231" s="11"/>
    </row>
    <row r="232" ht="15.75" customHeight="1">
      <c r="A232" s="12"/>
      <c r="B232" s="13"/>
      <c r="C232" s="14"/>
      <c r="D232" s="15"/>
      <c r="E232" s="15"/>
      <c r="F232" s="15"/>
      <c r="G232" s="15"/>
      <c r="H232" s="15"/>
      <c r="I232" s="15"/>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8"/>
      <c r="AL232" s="9"/>
      <c r="AM232" s="9"/>
      <c r="AN232" s="11"/>
      <c r="AO232" s="11"/>
      <c r="AP232" s="11"/>
      <c r="AQ232" s="11"/>
      <c r="AR232" s="11"/>
      <c r="AS232" s="11"/>
      <c r="AT232" s="11"/>
      <c r="AU232" s="11"/>
      <c r="AV232" s="11"/>
      <c r="AW232" s="11"/>
      <c r="AX232" s="11"/>
      <c r="AY232" s="11"/>
      <c r="AZ232" s="11"/>
    </row>
    <row r="233" ht="15.75" customHeight="1">
      <c r="A233" s="12"/>
      <c r="B233" s="13"/>
      <c r="C233" s="14"/>
      <c r="D233" s="15"/>
      <c r="E233" s="15"/>
      <c r="F233" s="15"/>
      <c r="G233" s="15"/>
      <c r="H233" s="15"/>
      <c r="I233" s="15"/>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8"/>
      <c r="AL233" s="9"/>
      <c r="AM233" s="9"/>
      <c r="AN233" s="11"/>
      <c r="AO233" s="11"/>
      <c r="AP233" s="11"/>
      <c r="AQ233" s="11"/>
      <c r="AR233" s="11"/>
      <c r="AS233" s="11"/>
      <c r="AT233" s="11"/>
      <c r="AU233" s="11"/>
      <c r="AV233" s="11"/>
      <c r="AW233" s="11"/>
      <c r="AX233" s="11"/>
      <c r="AY233" s="11"/>
      <c r="AZ233" s="11"/>
    </row>
    <row r="234" ht="15.75" customHeight="1">
      <c r="A234" s="12"/>
      <c r="B234" s="13"/>
      <c r="C234" s="14"/>
      <c r="D234" s="15"/>
      <c r="E234" s="15"/>
      <c r="F234" s="15"/>
      <c r="G234" s="15"/>
      <c r="H234" s="15"/>
      <c r="I234" s="15"/>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8"/>
      <c r="AL234" s="9"/>
      <c r="AM234" s="9"/>
      <c r="AN234" s="11"/>
      <c r="AO234" s="11"/>
      <c r="AP234" s="11"/>
      <c r="AQ234" s="11"/>
      <c r="AR234" s="11"/>
      <c r="AS234" s="11"/>
      <c r="AT234" s="11"/>
      <c r="AU234" s="11"/>
      <c r="AV234" s="11"/>
      <c r="AW234" s="11"/>
      <c r="AX234" s="11"/>
      <c r="AY234" s="11"/>
      <c r="AZ234" s="11"/>
    </row>
    <row r="235" ht="15.75" customHeight="1">
      <c r="A235" s="12"/>
      <c r="B235" s="13"/>
      <c r="C235" s="14"/>
      <c r="D235" s="15"/>
      <c r="E235" s="15"/>
      <c r="F235" s="15"/>
      <c r="G235" s="15"/>
      <c r="H235" s="15"/>
      <c r="I235" s="15"/>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8"/>
      <c r="AL235" s="9"/>
      <c r="AM235" s="9"/>
      <c r="AN235" s="11"/>
      <c r="AO235" s="11"/>
      <c r="AP235" s="11"/>
      <c r="AQ235" s="11"/>
      <c r="AR235" s="11"/>
      <c r="AS235" s="11"/>
      <c r="AT235" s="11"/>
      <c r="AU235" s="11"/>
      <c r="AV235" s="11"/>
      <c r="AW235" s="11"/>
      <c r="AX235" s="11"/>
      <c r="AY235" s="11"/>
      <c r="AZ235" s="11"/>
    </row>
    <row r="236" ht="15.75" customHeight="1">
      <c r="A236" s="12"/>
      <c r="B236" s="13"/>
      <c r="C236" s="14"/>
      <c r="D236" s="15"/>
      <c r="E236" s="15"/>
      <c r="F236" s="15"/>
      <c r="G236" s="15"/>
      <c r="H236" s="15"/>
      <c r="I236" s="15"/>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8"/>
      <c r="AL236" s="9"/>
      <c r="AM236" s="9"/>
      <c r="AN236" s="11"/>
      <c r="AO236" s="11"/>
      <c r="AP236" s="11"/>
      <c r="AQ236" s="11"/>
      <c r="AR236" s="11"/>
      <c r="AS236" s="11"/>
      <c r="AT236" s="11"/>
      <c r="AU236" s="11"/>
      <c r="AV236" s="11"/>
      <c r="AW236" s="11"/>
      <c r="AX236" s="11"/>
      <c r="AY236" s="11"/>
      <c r="AZ236" s="11"/>
    </row>
    <row r="237" ht="15.75" customHeight="1">
      <c r="A237" s="12"/>
      <c r="B237" s="13"/>
      <c r="C237" s="14"/>
      <c r="D237" s="15"/>
      <c r="E237" s="15"/>
      <c r="F237" s="15"/>
      <c r="G237" s="15"/>
      <c r="H237" s="15"/>
      <c r="I237" s="15"/>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8"/>
      <c r="AL237" s="9"/>
      <c r="AM237" s="9"/>
      <c r="AN237" s="11"/>
      <c r="AO237" s="11"/>
      <c r="AP237" s="11"/>
      <c r="AQ237" s="11"/>
      <c r="AR237" s="11"/>
      <c r="AS237" s="11"/>
      <c r="AT237" s="11"/>
      <c r="AU237" s="11"/>
      <c r="AV237" s="11"/>
      <c r="AW237" s="11"/>
      <c r="AX237" s="11"/>
      <c r="AY237" s="11"/>
      <c r="AZ237" s="11"/>
    </row>
    <row r="238" ht="15.75" customHeight="1">
      <c r="A238" s="12"/>
      <c r="B238" s="13"/>
      <c r="C238" s="14"/>
      <c r="D238" s="15"/>
      <c r="E238" s="15"/>
      <c r="F238" s="15"/>
      <c r="G238" s="15"/>
      <c r="H238" s="15"/>
      <c r="I238" s="15"/>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8"/>
      <c r="AL238" s="9"/>
      <c r="AM238" s="9"/>
      <c r="AN238" s="11"/>
      <c r="AO238" s="11"/>
      <c r="AP238" s="11"/>
      <c r="AQ238" s="11"/>
      <c r="AR238" s="11"/>
      <c r="AS238" s="11"/>
      <c r="AT238" s="11"/>
      <c r="AU238" s="11"/>
      <c r="AV238" s="11"/>
      <c r="AW238" s="11"/>
      <c r="AX238" s="11"/>
      <c r="AY238" s="11"/>
      <c r="AZ238" s="11"/>
    </row>
    <row r="239" ht="15.75" customHeight="1">
      <c r="A239" s="12"/>
      <c r="B239" s="13"/>
      <c r="C239" s="14"/>
      <c r="D239" s="15"/>
      <c r="E239" s="15"/>
      <c r="F239" s="15"/>
      <c r="G239" s="15"/>
      <c r="H239" s="15"/>
      <c r="I239" s="15"/>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8"/>
      <c r="AL239" s="9"/>
      <c r="AM239" s="9"/>
      <c r="AN239" s="11"/>
      <c r="AO239" s="11"/>
      <c r="AP239" s="11"/>
      <c r="AQ239" s="11"/>
      <c r="AR239" s="11"/>
      <c r="AS239" s="11"/>
      <c r="AT239" s="11"/>
      <c r="AU239" s="11"/>
      <c r="AV239" s="11"/>
      <c r="AW239" s="11"/>
      <c r="AX239" s="11"/>
      <c r="AY239" s="11"/>
      <c r="AZ239" s="11"/>
    </row>
    <row r="240" ht="15.75" customHeight="1">
      <c r="A240" s="12"/>
      <c r="B240" s="13"/>
      <c r="C240" s="14"/>
      <c r="D240" s="15"/>
      <c r="E240" s="15"/>
      <c r="F240" s="15"/>
      <c r="G240" s="15"/>
      <c r="H240" s="15"/>
      <c r="I240" s="15"/>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8"/>
      <c r="AL240" s="9"/>
      <c r="AM240" s="9"/>
      <c r="AN240" s="11"/>
      <c r="AO240" s="11"/>
      <c r="AP240" s="11"/>
      <c r="AQ240" s="11"/>
      <c r="AR240" s="11"/>
      <c r="AS240" s="11"/>
      <c r="AT240" s="11"/>
      <c r="AU240" s="11"/>
      <c r="AV240" s="11"/>
      <c r="AW240" s="11"/>
      <c r="AX240" s="11"/>
      <c r="AY240" s="11"/>
      <c r="AZ240" s="11"/>
    </row>
    <row r="241" ht="15.75" customHeight="1">
      <c r="A241" s="12"/>
      <c r="B241" s="13"/>
      <c r="C241" s="14"/>
      <c r="D241" s="15"/>
      <c r="E241" s="15"/>
      <c r="F241" s="15"/>
      <c r="G241" s="15"/>
      <c r="H241" s="15"/>
      <c r="I241" s="15"/>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8"/>
      <c r="AL241" s="9"/>
      <c r="AM241" s="9"/>
      <c r="AN241" s="11"/>
      <c r="AO241" s="11"/>
      <c r="AP241" s="11"/>
      <c r="AQ241" s="11"/>
      <c r="AR241" s="11"/>
      <c r="AS241" s="11"/>
      <c r="AT241" s="11"/>
      <c r="AU241" s="11"/>
      <c r="AV241" s="11"/>
      <c r="AW241" s="11"/>
      <c r="AX241" s="11"/>
      <c r="AY241" s="11"/>
      <c r="AZ241" s="11"/>
    </row>
    <row r="242" ht="15.75" customHeight="1">
      <c r="A242" s="12"/>
      <c r="B242" s="13"/>
      <c r="C242" s="14"/>
      <c r="D242" s="15"/>
      <c r="E242" s="15"/>
      <c r="F242" s="15"/>
      <c r="G242" s="15"/>
      <c r="H242" s="15"/>
      <c r="I242" s="15"/>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8"/>
      <c r="AL242" s="9"/>
      <c r="AM242" s="9"/>
      <c r="AN242" s="11"/>
      <c r="AO242" s="11"/>
      <c r="AP242" s="11"/>
      <c r="AQ242" s="11"/>
      <c r="AR242" s="11"/>
      <c r="AS242" s="11"/>
      <c r="AT242" s="11"/>
      <c r="AU242" s="11"/>
      <c r="AV242" s="11"/>
      <c r="AW242" s="11"/>
      <c r="AX242" s="11"/>
      <c r="AY242" s="11"/>
      <c r="AZ242" s="11"/>
    </row>
    <row r="243" ht="15.75" customHeight="1">
      <c r="A243" s="12"/>
      <c r="B243" s="13"/>
      <c r="C243" s="14"/>
      <c r="D243" s="15"/>
      <c r="E243" s="15"/>
      <c r="F243" s="15"/>
      <c r="G243" s="15"/>
      <c r="H243" s="15"/>
      <c r="I243" s="15"/>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8"/>
      <c r="AL243" s="9"/>
      <c r="AM243" s="9"/>
      <c r="AN243" s="11"/>
      <c r="AO243" s="11"/>
      <c r="AP243" s="11"/>
      <c r="AQ243" s="11"/>
      <c r="AR243" s="11"/>
      <c r="AS243" s="11"/>
      <c r="AT243" s="11"/>
      <c r="AU243" s="11"/>
      <c r="AV243" s="11"/>
      <c r="AW243" s="11"/>
      <c r="AX243" s="11"/>
      <c r="AY243" s="11"/>
      <c r="AZ243" s="11"/>
    </row>
    <row r="244" ht="15.75" customHeight="1">
      <c r="A244" s="12"/>
      <c r="B244" s="13"/>
      <c r="C244" s="14"/>
      <c r="D244" s="15"/>
      <c r="E244" s="15"/>
      <c r="F244" s="15"/>
      <c r="G244" s="15"/>
      <c r="H244" s="15"/>
      <c r="I244" s="15"/>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8"/>
      <c r="AL244" s="9"/>
      <c r="AM244" s="9"/>
      <c r="AN244" s="11"/>
      <c r="AO244" s="11"/>
      <c r="AP244" s="11"/>
      <c r="AQ244" s="11"/>
      <c r="AR244" s="11"/>
      <c r="AS244" s="11"/>
      <c r="AT244" s="11"/>
      <c r="AU244" s="11"/>
      <c r="AV244" s="11"/>
      <c r="AW244" s="11"/>
      <c r="AX244" s="11"/>
      <c r="AY244" s="11"/>
      <c r="AZ244" s="11"/>
    </row>
    <row r="245" ht="15.75" customHeight="1">
      <c r="A245" s="12"/>
      <c r="B245" s="13"/>
      <c r="C245" s="14"/>
      <c r="D245" s="15"/>
      <c r="E245" s="15"/>
      <c r="F245" s="15"/>
      <c r="G245" s="15"/>
      <c r="H245" s="15"/>
      <c r="I245" s="15"/>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8"/>
      <c r="AL245" s="9"/>
      <c r="AM245" s="9"/>
      <c r="AN245" s="11"/>
      <c r="AO245" s="11"/>
      <c r="AP245" s="11"/>
      <c r="AQ245" s="11"/>
      <c r="AR245" s="11"/>
      <c r="AS245" s="11"/>
      <c r="AT245" s="11"/>
      <c r="AU245" s="11"/>
      <c r="AV245" s="11"/>
      <c r="AW245" s="11"/>
      <c r="AX245" s="11"/>
      <c r="AY245" s="11"/>
      <c r="AZ245" s="11"/>
    </row>
    <row r="246" ht="15.75" customHeight="1">
      <c r="A246" s="12"/>
      <c r="B246" s="13"/>
      <c r="C246" s="14"/>
      <c r="D246" s="15"/>
      <c r="E246" s="15"/>
      <c r="F246" s="15"/>
      <c r="G246" s="15"/>
      <c r="H246" s="15"/>
      <c r="I246" s="15"/>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8"/>
      <c r="AL246" s="9"/>
      <c r="AM246" s="9"/>
      <c r="AN246" s="11"/>
      <c r="AO246" s="11"/>
      <c r="AP246" s="11"/>
      <c r="AQ246" s="11"/>
      <c r="AR246" s="11"/>
      <c r="AS246" s="11"/>
      <c r="AT246" s="11"/>
      <c r="AU246" s="11"/>
      <c r="AV246" s="11"/>
      <c r="AW246" s="11"/>
      <c r="AX246" s="11"/>
      <c r="AY246" s="11"/>
      <c r="AZ246" s="11"/>
    </row>
    <row r="247" ht="15.75" customHeight="1">
      <c r="A247" s="12"/>
      <c r="B247" s="13"/>
      <c r="C247" s="14"/>
      <c r="D247" s="15"/>
      <c r="E247" s="15"/>
      <c r="F247" s="15"/>
      <c r="G247" s="15"/>
      <c r="H247" s="15"/>
      <c r="I247" s="15"/>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8"/>
      <c r="AL247" s="9"/>
      <c r="AM247" s="9"/>
      <c r="AN247" s="11"/>
      <c r="AO247" s="11"/>
      <c r="AP247" s="11"/>
      <c r="AQ247" s="11"/>
      <c r="AR247" s="11"/>
      <c r="AS247" s="11"/>
      <c r="AT247" s="11"/>
      <c r="AU247" s="11"/>
      <c r="AV247" s="11"/>
      <c r="AW247" s="11"/>
      <c r="AX247" s="11"/>
      <c r="AY247" s="11"/>
      <c r="AZ247" s="11"/>
    </row>
    <row r="248" ht="15.75" customHeight="1">
      <c r="A248" s="12"/>
      <c r="B248" s="13"/>
      <c r="C248" s="14"/>
      <c r="D248" s="15"/>
      <c r="E248" s="15"/>
      <c r="F248" s="15"/>
      <c r="G248" s="15"/>
      <c r="H248" s="15"/>
      <c r="I248" s="15"/>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8"/>
      <c r="AL248" s="9"/>
      <c r="AM248" s="9"/>
      <c r="AN248" s="11"/>
      <c r="AO248" s="11"/>
      <c r="AP248" s="11"/>
      <c r="AQ248" s="11"/>
      <c r="AR248" s="11"/>
      <c r="AS248" s="11"/>
      <c r="AT248" s="11"/>
      <c r="AU248" s="11"/>
      <c r="AV248" s="11"/>
      <c r="AW248" s="11"/>
      <c r="AX248" s="11"/>
      <c r="AY248" s="11"/>
      <c r="AZ248" s="11"/>
    </row>
    <row r="249" ht="15.75" customHeight="1">
      <c r="A249" s="12"/>
      <c r="B249" s="13"/>
      <c r="C249" s="14"/>
      <c r="D249" s="15"/>
      <c r="E249" s="15"/>
      <c r="F249" s="15"/>
      <c r="G249" s="15"/>
      <c r="H249" s="15"/>
      <c r="I249" s="15"/>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8"/>
      <c r="AL249" s="9"/>
      <c r="AM249" s="9"/>
      <c r="AN249" s="11"/>
      <c r="AO249" s="11"/>
      <c r="AP249" s="11"/>
      <c r="AQ249" s="11"/>
      <c r="AR249" s="11"/>
      <c r="AS249" s="11"/>
      <c r="AT249" s="11"/>
      <c r="AU249" s="11"/>
      <c r="AV249" s="11"/>
      <c r="AW249" s="11"/>
      <c r="AX249" s="11"/>
      <c r="AY249" s="11"/>
      <c r="AZ249" s="11"/>
    </row>
    <row r="250" ht="15.75" customHeight="1">
      <c r="A250" s="12"/>
      <c r="B250" s="13"/>
      <c r="C250" s="14"/>
      <c r="D250" s="15"/>
      <c r="E250" s="15"/>
      <c r="F250" s="15"/>
      <c r="G250" s="15"/>
      <c r="H250" s="15"/>
      <c r="I250" s="15"/>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8"/>
      <c r="AL250" s="9"/>
      <c r="AM250" s="9"/>
      <c r="AN250" s="11"/>
      <c r="AO250" s="11"/>
      <c r="AP250" s="11"/>
      <c r="AQ250" s="11"/>
      <c r="AR250" s="11"/>
      <c r="AS250" s="11"/>
      <c r="AT250" s="11"/>
      <c r="AU250" s="11"/>
      <c r="AV250" s="11"/>
      <c r="AW250" s="11"/>
      <c r="AX250" s="11"/>
      <c r="AY250" s="11"/>
      <c r="AZ250" s="11"/>
    </row>
    <row r="251" ht="15.75" customHeight="1">
      <c r="A251" s="12"/>
      <c r="B251" s="13"/>
      <c r="C251" s="14"/>
      <c r="D251" s="15"/>
      <c r="E251" s="15"/>
      <c r="F251" s="15"/>
      <c r="G251" s="15"/>
      <c r="H251" s="15"/>
      <c r="I251" s="15"/>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8"/>
      <c r="AL251" s="9"/>
      <c r="AM251" s="9"/>
      <c r="AN251" s="11"/>
      <c r="AO251" s="11"/>
      <c r="AP251" s="11"/>
      <c r="AQ251" s="11"/>
      <c r="AR251" s="11"/>
      <c r="AS251" s="11"/>
      <c r="AT251" s="11"/>
      <c r="AU251" s="11"/>
      <c r="AV251" s="11"/>
      <c r="AW251" s="11"/>
      <c r="AX251" s="11"/>
      <c r="AY251" s="11"/>
      <c r="AZ251" s="11"/>
    </row>
    <row r="252" ht="15.75" customHeight="1">
      <c r="A252" s="12"/>
      <c r="B252" s="13"/>
      <c r="C252" s="14"/>
      <c r="D252" s="15"/>
      <c r="E252" s="15"/>
      <c r="F252" s="15"/>
      <c r="G252" s="15"/>
      <c r="H252" s="15"/>
      <c r="I252" s="15"/>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8"/>
      <c r="AL252" s="9"/>
      <c r="AM252" s="9"/>
      <c r="AN252" s="11"/>
      <c r="AO252" s="11"/>
      <c r="AP252" s="11"/>
      <c r="AQ252" s="11"/>
      <c r="AR252" s="11"/>
      <c r="AS252" s="11"/>
      <c r="AT252" s="11"/>
      <c r="AU252" s="11"/>
      <c r="AV252" s="11"/>
      <c r="AW252" s="11"/>
      <c r="AX252" s="11"/>
      <c r="AY252" s="11"/>
      <c r="AZ252" s="11"/>
    </row>
    <row r="253" ht="15.75" customHeight="1">
      <c r="A253" s="12"/>
      <c r="B253" s="13"/>
      <c r="C253" s="14"/>
      <c r="D253" s="15"/>
      <c r="E253" s="15"/>
      <c r="F253" s="15"/>
      <c r="G253" s="15"/>
      <c r="H253" s="15"/>
      <c r="I253" s="15"/>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8"/>
      <c r="AL253" s="9"/>
      <c r="AM253" s="9"/>
      <c r="AN253" s="11"/>
      <c r="AO253" s="11"/>
      <c r="AP253" s="11"/>
      <c r="AQ253" s="11"/>
      <c r="AR253" s="11"/>
      <c r="AS253" s="11"/>
      <c r="AT253" s="11"/>
      <c r="AU253" s="11"/>
      <c r="AV253" s="11"/>
      <c r="AW253" s="11"/>
      <c r="AX253" s="11"/>
      <c r="AY253" s="11"/>
      <c r="AZ253" s="11"/>
    </row>
    <row r="254" ht="15.75" customHeight="1">
      <c r="A254" s="12"/>
      <c r="B254" s="13"/>
      <c r="C254" s="14"/>
      <c r="D254" s="15"/>
      <c r="E254" s="15"/>
      <c r="F254" s="15"/>
      <c r="G254" s="15"/>
      <c r="H254" s="15"/>
      <c r="I254" s="15"/>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8"/>
      <c r="AL254" s="9"/>
      <c r="AM254" s="9"/>
      <c r="AN254" s="11"/>
      <c r="AO254" s="11"/>
      <c r="AP254" s="11"/>
      <c r="AQ254" s="11"/>
      <c r="AR254" s="11"/>
      <c r="AS254" s="11"/>
      <c r="AT254" s="11"/>
      <c r="AU254" s="11"/>
      <c r="AV254" s="11"/>
      <c r="AW254" s="11"/>
      <c r="AX254" s="11"/>
      <c r="AY254" s="11"/>
      <c r="AZ254" s="11"/>
    </row>
    <row r="255" ht="15.75" customHeight="1">
      <c r="A255" s="12"/>
      <c r="B255" s="13"/>
      <c r="C255" s="14"/>
      <c r="D255" s="15"/>
      <c r="E255" s="15"/>
      <c r="F255" s="15"/>
      <c r="G255" s="15"/>
      <c r="H255" s="15"/>
      <c r="I255" s="15"/>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8"/>
      <c r="AL255" s="9"/>
      <c r="AM255" s="9"/>
      <c r="AN255" s="11"/>
      <c r="AO255" s="11"/>
      <c r="AP255" s="11"/>
      <c r="AQ255" s="11"/>
      <c r="AR255" s="11"/>
      <c r="AS255" s="11"/>
      <c r="AT255" s="11"/>
      <c r="AU255" s="11"/>
      <c r="AV255" s="11"/>
      <c r="AW255" s="11"/>
      <c r="AX255" s="11"/>
      <c r="AY255" s="11"/>
      <c r="AZ255" s="11"/>
    </row>
    <row r="256" ht="15.75" customHeight="1">
      <c r="A256" s="12"/>
      <c r="B256" s="13"/>
      <c r="C256" s="14"/>
      <c r="D256" s="15"/>
      <c r="E256" s="15"/>
      <c r="F256" s="15"/>
      <c r="G256" s="15"/>
      <c r="H256" s="15"/>
      <c r="I256" s="15"/>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8"/>
      <c r="AL256" s="9"/>
      <c r="AM256" s="9"/>
      <c r="AN256" s="11"/>
      <c r="AO256" s="11"/>
      <c r="AP256" s="11"/>
      <c r="AQ256" s="11"/>
      <c r="AR256" s="11"/>
      <c r="AS256" s="11"/>
      <c r="AT256" s="11"/>
      <c r="AU256" s="11"/>
      <c r="AV256" s="11"/>
      <c r="AW256" s="11"/>
      <c r="AX256" s="11"/>
      <c r="AY256" s="11"/>
      <c r="AZ256" s="11"/>
    </row>
    <row r="257" ht="15.75" customHeight="1">
      <c r="A257" s="12"/>
      <c r="B257" s="13"/>
      <c r="C257" s="14"/>
      <c r="D257" s="15"/>
      <c r="E257" s="15"/>
      <c r="F257" s="15"/>
      <c r="G257" s="15"/>
      <c r="H257" s="15"/>
      <c r="I257" s="15"/>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8"/>
      <c r="AL257" s="9"/>
      <c r="AM257" s="9"/>
      <c r="AN257" s="11"/>
      <c r="AO257" s="11"/>
      <c r="AP257" s="11"/>
      <c r="AQ257" s="11"/>
      <c r="AR257" s="11"/>
      <c r="AS257" s="11"/>
      <c r="AT257" s="11"/>
      <c r="AU257" s="11"/>
      <c r="AV257" s="11"/>
      <c r="AW257" s="11"/>
      <c r="AX257" s="11"/>
      <c r="AY257" s="11"/>
      <c r="AZ257" s="11"/>
    </row>
    <row r="258" ht="15.75" customHeight="1">
      <c r="A258" s="12"/>
      <c r="B258" s="13"/>
      <c r="C258" s="14"/>
      <c r="D258" s="15"/>
      <c r="E258" s="15"/>
      <c r="F258" s="15"/>
      <c r="G258" s="15"/>
      <c r="H258" s="15"/>
      <c r="I258" s="15"/>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8"/>
      <c r="AL258" s="9"/>
      <c r="AM258" s="9"/>
      <c r="AN258" s="11"/>
      <c r="AO258" s="11"/>
      <c r="AP258" s="11"/>
      <c r="AQ258" s="11"/>
      <c r="AR258" s="11"/>
      <c r="AS258" s="11"/>
      <c r="AT258" s="11"/>
      <c r="AU258" s="11"/>
      <c r="AV258" s="11"/>
      <c r="AW258" s="11"/>
      <c r="AX258" s="11"/>
      <c r="AY258" s="11"/>
      <c r="AZ258" s="11"/>
    </row>
    <row r="259" ht="15.75" customHeight="1">
      <c r="A259" s="12"/>
      <c r="B259" s="13"/>
      <c r="C259" s="14"/>
      <c r="D259" s="15"/>
      <c r="E259" s="15"/>
      <c r="F259" s="15"/>
      <c r="G259" s="15"/>
      <c r="H259" s="15"/>
      <c r="I259" s="15"/>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8"/>
      <c r="AL259" s="9"/>
      <c r="AM259" s="9"/>
      <c r="AN259" s="11"/>
      <c r="AO259" s="11"/>
      <c r="AP259" s="11"/>
      <c r="AQ259" s="11"/>
      <c r="AR259" s="11"/>
      <c r="AS259" s="11"/>
      <c r="AT259" s="11"/>
      <c r="AU259" s="11"/>
      <c r="AV259" s="11"/>
      <c r="AW259" s="11"/>
      <c r="AX259" s="11"/>
      <c r="AY259" s="11"/>
      <c r="AZ259" s="11"/>
    </row>
    <row r="260" ht="15.75" customHeight="1">
      <c r="A260" s="12"/>
      <c r="B260" s="13"/>
      <c r="C260" s="14"/>
      <c r="D260" s="15"/>
      <c r="E260" s="15"/>
      <c r="F260" s="15"/>
      <c r="G260" s="15"/>
      <c r="H260" s="15"/>
      <c r="I260" s="15"/>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8"/>
      <c r="AL260" s="9"/>
      <c r="AM260" s="9"/>
      <c r="AN260" s="11"/>
      <c r="AO260" s="11"/>
      <c r="AP260" s="11"/>
      <c r="AQ260" s="11"/>
      <c r="AR260" s="11"/>
      <c r="AS260" s="11"/>
      <c r="AT260" s="11"/>
      <c r="AU260" s="11"/>
      <c r="AV260" s="11"/>
      <c r="AW260" s="11"/>
      <c r="AX260" s="11"/>
      <c r="AY260" s="11"/>
      <c r="AZ260" s="11"/>
    </row>
    <row r="261" ht="15.75" customHeight="1">
      <c r="A261" s="12"/>
      <c r="B261" s="13"/>
      <c r="C261" s="14"/>
      <c r="D261" s="15"/>
      <c r="E261" s="15"/>
      <c r="F261" s="15"/>
      <c r="G261" s="15"/>
      <c r="H261" s="15"/>
      <c r="I261" s="15"/>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8"/>
      <c r="AL261" s="9"/>
      <c r="AM261" s="9"/>
      <c r="AN261" s="11"/>
      <c r="AO261" s="11"/>
      <c r="AP261" s="11"/>
      <c r="AQ261" s="11"/>
      <c r="AR261" s="11"/>
      <c r="AS261" s="11"/>
      <c r="AT261" s="11"/>
      <c r="AU261" s="11"/>
      <c r="AV261" s="11"/>
      <c r="AW261" s="11"/>
      <c r="AX261" s="11"/>
      <c r="AY261" s="11"/>
      <c r="AZ261" s="11"/>
    </row>
    <row r="262" ht="15.75" customHeight="1">
      <c r="A262" s="12"/>
      <c r="B262" s="13"/>
      <c r="C262" s="14"/>
      <c r="D262" s="15"/>
      <c r="E262" s="15"/>
      <c r="F262" s="15"/>
      <c r="G262" s="15"/>
      <c r="H262" s="15"/>
      <c r="I262" s="15"/>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8"/>
      <c r="AL262" s="9"/>
      <c r="AM262" s="9"/>
      <c r="AN262" s="11"/>
      <c r="AO262" s="11"/>
      <c r="AP262" s="11"/>
      <c r="AQ262" s="11"/>
      <c r="AR262" s="11"/>
      <c r="AS262" s="11"/>
      <c r="AT262" s="11"/>
      <c r="AU262" s="11"/>
      <c r="AV262" s="11"/>
      <c r="AW262" s="11"/>
      <c r="AX262" s="11"/>
      <c r="AY262" s="11"/>
      <c r="AZ262" s="11"/>
    </row>
    <row r="263" ht="15.75" customHeight="1">
      <c r="A263" s="12"/>
      <c r="B263" s="13"/>
      <c r="C263" s="14"/>
      <c r="D263" s="15"/>
      <c r="E263" s="15"/>
      <c r="F263" s="15"/>
      <c r="G263" s="15"/>
      <c r="H263" s="15"/>
      <c r="I263" s="15"/>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8"/>
      <c r="AL263" s="9"/>
      <c r="AM263" s="9"/>
      <c r="AN263" s="11"/>
      <c r="AO263" s="11"/>
      <c r="AP263" s="11"/>
      <c r="AQ263" s="11"/>
      <c r="AR263" s="11"/>
      <c r="AS263" s="11"/>
      <c r="AT263" s="11"/>
      <c r="AU263" s="11"/>
      <c r="AV263" s="11"/>
      <c r="AW263" s="11"/>
      <c r="AX263" s="11"/>
      <c r="AY263" s="11"/>
      <c r="AZ263" s="11"/>
    </row>
    <row r="264" ht="15.75" customHeight="1">
      <c r="A264" s="12"/>
      <c r="B264" s="13"/>
      <c r="C264" s="14"/>
      <c r="D264" s="15"/>
      <c r="E264" s="15"/>
      <c r="F264" s="15"/>
      <c r="G264" s="15"/>
      <c r="H264" s="15"/>
      <c r="I264" s="15"/>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8"/>
      <c r="AL264" s="9"/>
      <c r="AM264" s="9"/>
      <c r="AN264" s="11"/>
      <c r="AO264" s="11"/>
      <c r="AP264" s="11"/>
      <c r="AQ264" s="11"/>
      <c r="AR264" s="11"/>
      <c r="AS264" s="11"/>
      <c r="AT264" s="11"/>
      <c r="AU264" s="11"/>
      <c r="AV264" s="11"/>
      <c r="AW264" s="11"/>
      <c r="AX264" s="11"/>
      <c r="AY264" s="11"/>
      <c r="AZ264" s="11"/>
    </row>
    <row r="265" ht="15.75" customHeight="1">
      <c r="A265" s="12"/>
      <c r="B265" s="13"/>
      <c r="C265" s="14"/>
      <c r="D265" s="15"/>
      <c r="E265" s="15"/>
      <c r="F265" s="15"/>
      <c r="G265" s="15"/>
      <c r="H265" s="15"/>
      <c r="I265" s="15"/>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8"/>
      <c r="AL265" s="9"/>
      <c r="AM265" s="9"/>
      <c r="AN265" s="11"/>
      <c r="AO265" s="11"/>
      <c r="AP265" s="11"/>
      <c r="AQ265" s="11"/>
      <c r="AR265" s="11"/>
      <c r="AS265" s="11"/>
      <c r="AT265" s="11"/>
      <c r="AU265" s="11"/>
      <c r="AV265" s="11"/>
      <c r="AW265" s="11"/>
      <c r="AX265" s="11"/>
      <c r="AY265" s="11"/>
      <c r="AZ265" s="11"/>
    </row>
    <row r="266" ht="15.75" customHeight="1">
      <c r="A266" s="12"/>
      <c r="B266" s="13"/>
      <c r="C266" s="14"/>
      <c r="D266" s="15"/>
      <c r="E266" s="15"/>
      <c r="F266" s="15"/>
      <c r="G266" s="15"/>
      <c r="H266" s="15"/>
      <c r="I266" s="15"/>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8"/>
      <c r="AL266" s="9"/>
      <c r="AM266" s="9"/>
      <c r="AN266" s="11"/>
      <c r="AO266" s="11"/>
      <c r="AP266" s="11"/>
      <c r="AQ266" s="11"/>
      <c r="AR266" s="11"/>
      <c r="AS266" s="11"/>
      <c r="AT266" s="11"/>
      <c r="AU266" s="11"/>
      <c r="AV266" s="11"/>
      <c r="AW266" s="11"/>
      <c r="AX266" s="11"/>
      <c r="AY266" s="11"/>
      <c r="AZ266" s="11"/>
    </row>
    <row r="267" ht="15.75" customHeight="1">
      <c r="A267" s="12"/>
      <c r="B267" s="13"/>
      <c r="C267" s="14"/>
      <c r="D267" s="15"/>
      <c r="E267" s="15"/>
      <c r="F267" s="15"/>
      <c r="G267" s="15"/>
      <c r="H267" s="15"/>
      <c r="I267" s="15"/>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8"/>
      <c r="AL267" s="9"/>
      <c r="AM267" s="9"/>
      <c r="AN267" s="11"/>
      <c r="AO267" s="11"/>
      <c r="AP267" s="11"/>
      <c r="AQ267" s="11"/>
      <c r="AR267" s="11"/>
      <c r="AS267" s="11"/>
      <c r="AT267" s="11"/>
      <c r="AU267" s="11"/>
      <c r="AV267" s="11"/>
      <c r="AW267" s="11"/>
      <c r="AX267" s="11"/>
      <c r="AY267" s="11"/>
      <c r="AZ267" s="11"/>
    </row>
    <row r="268" ht="15.75" customHeight="1">
      <c r="A268" s="12"/>
      <c r="B268" s="13"/>
      <c r="C268" s="14"/>
      <c r="D268" s="15"/>
      <c r="E268" s="15"/>
      <c r="F268" s="15"/>
      <c r="G268" s="15"/>
      <c r="H268" s="15"/>
      <c r="I268" s="15"/>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8"/>
      <c r="AL268" s="9"/>
      <c r="AM268" s="9"/>
      <c r="AN268" s="11"/>
      <c r="AO268" s="11"/>
      <c r="AP268" s="11"/>
      <c r="AQ268" s="11"/>
      <c r="AR268" s="11"/>
      <c r="AS268" s="11"/>
      <c r="AT268" s="11"/>
      <c r="AU268" s="11"/>
      <c r="AV268" s="11"/>
      <c r="AW268" s="11"/>
      <c r="AX268" s="11"/>
      <c r="AY268" s="11"/>
      <c r="AZ268" s="11"/>
    </row>
    <row r="269" ht="15.75" customHeight="1">
      <c r="A269" s="12"/>
      <c r="B269" s="13"/>
      <c r="C269" s="14"/>
      <c r="D269" s="15"/>
      <c r="E269" s="15"/>
      <c r="F269" s="15"/>
      <c r="G269" s="15"/>
      <c r="H269" s="15"/>
      <c r="I269" s="15"/>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8"/>
      <c r="AL269" s="9"/>
      <c r="AM269" s="9"/>
      <c r="AN269" s="11"/>
      <c r="AO269" s="11"/>
      <c r="AP269" s="11"/>
      <c r="AQ269" s="11"/>
      <c r="AR269" s="11"/>
      <c r="AS269" s="11"/>
      <c r="AT269" s="11"/>
      <c r="AU269" s="11"/>
      <c r="AV269" s="11"/>
      <c r="AW269" s="11"/>
      <c r="AX269" s="11"/>
      <c r="AY269" s="11"/>
      <c r="AZ269" s="11"/>
    </row>
    <row r="270" ht="15.75" customHeight="1">
      <c r="A270" s="12"/>
      <c r="B270" s="13"/>
      <c r="C270" s="14"/>
      <c r="D270" s="15"/>
      <c r="E270" s="15"/>
      <c r="F270" s="15"/>
      <c r="G270" s="15"/>
      <c r="H270" s="15"/>
      <c r="I270" s="15"/>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8"/>
      <c r="AL270" s="9"/>
      <c r="AM270" s="9"/>
      <c r="AN270" s="11"/>
      <c r="AO270" s="11"/>
      <c r="AP270" s="11"/>
      <c r="AQ270" s="11"/>
      <c r="AR270" s="11"/>
      <c r="AS270" s="11"/>
      <c r="AT270" s="11"/>
      <c r="AU270" s="11"/>
      <c r="AV270" s="11"/>
      <c r="AW270" s="11"/>
      <c r="AX270" s="11"/>
      <c r="AY270" s="11"/>
      <c r="AZ270" s="11"/>
    </row>
    <row r="271" ht="15.75" customHeight="1">
      <c r="A271" s="12"/>
      <c r="B271" s="13"/>
      <c r="C271" s="14"/>
      <c r="D271" s="15"/>
      <c r="E271" s="15"/>
      <c r="F271" s="15"/>
      <c r="G271" s="15"/>
      <c r="H271" s="15"/>
      <c r="I271" s="15"/>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8"/>
      <c r="AL271" s="9"/>
      <c r="AM271" s="9"/>
      <c r="AN271" s="11"/>
      <c r="AO271" s="11"/>
      <c r="AP271" s="11"/>
      <c r="AQ271" s="11"/>
      <c r="AR271" s="11"/>
      <c r="AS271" s="11"/>
      <c r="AT271" s="11"/>
      <c r="AU271" s="11"/>
      <c r="AV271" s="11"/>
      <c r="AW271" s="11"/>
      <c r="AX271" s="11"/>
      <c r="AY271" s="11"/>
      <c r="AZ271" s="11"/>
    </row>
    <row r="272" ht="15.75" customHeight="1">
      <c r="A272" s="12"/>
      <c r="B272" s="13"/>
      <c r="C272" s="14"/>
      <c r="D272" s="15"/>
      <c r="E272" s="15"/>
      <c r="F272" s="15"/>
      <c r="G272" s="15"/>
      <c r="H272" s="15"/>
      <c r="I272" s="15"/>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8"/>
      <c r="AL272" s="9"/>
      <c r="AM272" s="9"/>
      <c r="AN272" s="11"/>
      <c r="AO272" s="11"/>
      <c r="AP272" s="11"/>
      <c r="AQ272" s="11"/>
      <c r="AR272" s="11"/>
      <c r="AS272" s="11"/>
      <c r="AT272" s="11"/>
      <c r="AU272" s="11"/>
      <c r="AV272" s="11"/>
      <c r="AW272" s="11"/>
      <c r="AX272" s="11"/>
      <c r="AY272" s="11"/>
      <c r="AZ272" s="11"/>
    </row>
    <row r="273" ht="15.75" customHeight="1">
      <c r="A273" s="12"/>
      <c r="B273" s="13"/>
      <c r="C273" s="14"/>
      <c r="D273" s="15"/>
      <c r="E273" s="15"/>
      <c r="F273" s="15"/>
      <c r="G273" s="15"/>
      <c r="H273" s="15"/>
      <c r="I273" s="15"/>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8"/>
      <c r="AL273" s="9"/>
      <c r="AM273" s="9"/>
      <c r="AN273" s="11"/>
      <c r="AO273" s="11"/>
      <c r="AP273" s="11"/>
      <c r="AQ273" s="11"/>
      <c r="AR273" s="11"/>
      <c r="AS273" s="11"/>
      <c r="AT273" s="11"/>
      <c r="AU273" s="11"/>
      <c r="AV273" s="11"/>
      <c r="AW273" s="11"/>
      <c r="AX273" s="11"/>
      <c r="AY273" s="11"/>
      <c r="AZ273" s="11"/>
    </row>
    <row r="274" ht="15.75" customHeight="1">
      <c r="A274" s="12"/>
      <c r="B274" s="13"/>
      <c r="C274" s="14"/>
      <c r="D274" s="15"/>
      <c r="E274" s="15"/>
      <c r="F274" s="15"/>
      <c r="G274" s="15"/>
      <c r="H274" s="15"/>
      <c r="I274" s="15"/>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8"/>
      <c r="AL274" s="9"/>
      <c r="AM274" s="9"/>
      <c r="AN274" s="11"/>
      <c r="AO274" s="11"/>
      <c r="AP274" s="11"/>
      <c r="AQ274" s="11"/>
      <c r="AR274" s="11"/>
      <c r="AS274" s="11"/>
      <c r="AT274" s="11"/>
      <c r="AU274" s="11"/>
      <c r="AV274" s="11"/>
      <c r="AW274" s="11"/>
      <c r="AX274" s="11"/>
      <c r="AY274" s="11"/>
      <c r="AZ274" s="11"/>
    </row>
    <row r="275" ht="15.75" customHeight="1">
      <c r="A275" s="12"/>
      <c r="B275" s="13"/>
      <c r="C275" s="14"/>
      <c r="D275" s="15"/>
      <c r="E275" s="15"/>
      <c r="F275" s="15"/>
      <c r="G275" s="15"/>
      <c r="H275" s="15"/>
      <c r="I275" s="15"/>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8"/>
      <c r="AL275" s="9"/>
      <c r="AM275" s="9"/>
      <c r="AN275" s="11"/>
      <c r="AO275" s="11"/>
      <c r="AP275" s="11"/>
      <c r="AQ275" s="11"/>
      <c r="AR275" s="11"/>
      <c r="AS275" s="11"/>
      <c r="AT275" s="11"/>
      <c r="AU275" s="11"/>
      <c r="AV275" s="11"/>
      <c r="AW275" s="11"/>
      <c r="AX275" s="11"/>
      <c r="AY275" s="11"/>
      <c r="AZ275" s="11"/>
    </row>
    <row r="276" ht="15.75" customHeight="1">
      <c r="A276" s="12"/>
      <c r="B276" s="13"/>
      <c r="C276" s="14"/>
      <c r="D276" s="15"/>
      <c r="E276" s="15"/>
      <c r="F276" s="15"/>
      <c r="G276" s="15"/>
      <c r="H276" s="15"/>
      <c r="I276" s="15"/>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8"/>
      <c r="AL276" s="9"/>
      <c r="AM276" s="9"/>
      <c r="AN276" s="11"/>
      <c r="AO276" s="11"/>
      <c r="AP276" s="11"/>
      <c r="AQ276" s="11"/>
      <c r="AR276" s="11"/>
      <c r="AS276" s="11"/>
      <c r="AT276" s="11"/>
      <c r="AU276" s="11"/>
      <c r="AV276" s="11"/>
      <c r="AW276" s="11"/>
      <c r="AX276" s="11"/>
      <c r="AY276" s="11"/>
      <c r="AZ276" s="11"/>
    </row>
    <row r="277" ht="15.75" customHeight="1">
      <c r="A277" s="12"/>
      <c r="B277" s="13"/>
      <c r="C277" s="14"/>
      <c r="D277" s="15"/>
      <c r="E277" s="15"/>
      <c r="F277" s="15"/>
      <c r="G277" s="15"/>
      <c r="H277" s="15"/>
      <c r="I277" s="15"/>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8"/>
      <c r="AL277" s="9"/>
      <c r="AM277" s="9"/>
      <c r="AN277" s="11"/>
      <c r="AO277" s="11"/>
      <c r="AP277" s="11"/>
      <c r="AQ277" s="11"/>
      <c r="AR277" s="11"/>
      <c r="AS277" s="11"/>
      <c r="AT277" s="11"/>
      <c r="AU277" s="11"/>
      <c r="AV277" s="11"/>
      <c r="AW277" s="11"/>
      <c r="AX277" s="11"/>
      <c r="AY277" s="11"/>
      <c r="AZ277" s="11"/>
    </row>
    <row r="278" ht="15.75" customHeight="1">
      <c r="A278" s="12"/>
      <c r="B278" s="13"/>
      <c r="C278" s="14"/>
      <c r="D278" s="15"/>
      <c r="E278" s="15"/>
      <c r="F278" s="15"/>
      <c r="G278" s="15"/>
      <c r="H278" s="15"/>
      <c r="I278" s="15"/>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8"/>
      <c r="AL278" s="9"/>
      <c r="AM278" s="9"/>
      <c r="AN278" s="11"/>
      <c r="AO278" s="11"/>
      <c r="AP278" s="11"/>
      <c r="AQ278" s="11"/>
      <c r="AR278" s="11"/>
      <c r="AS278" s="11"/>
      <c r="AT278" s="11"/>
      <c r="AU278" s="11"/>
      <c r="AV278" s="11"/>
      <c r="AW278" s="11"/>
      <c r="AX278" s="11"/>
      <c r="AY278" s="11"/>
      <c r="AZ278" s="11"/>
    </row>
    <row r="279" ht="15.75" customHeight="1">
      <c r="A279" s="12"/>
      <c r="B279" s="13"/>
      <c r="C279" s="14"/>
      <c r="D279" s="15"/>
      <c r="E279" s="15"/>
      <c r="F279" s="15"/>
      <c r="G279" s="15"/>
      <c r="H279" s="15"/>
      <c r="I279" s="15"/>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8"/>
      <c r="AL279" s="9"/>
      <c r="AM279" s="9"/>
      <c r="AN279" s="11"/>
      <c r="AO279" s="11"/>
      <c r="AP279" s="11"/>
      <c r="AQ279" s="11"/>
      <c r="AR279" s="11"/>
      <c r="AS279" s="11"/>
      <c r="AT279" s="11"/>
      <c r="AU279" s="11"/>
      <c r="AV279" s="11"/>
      <c r="AW279" s="11"/>
      <c r="AX279" s="11"/>
      <c r="AY279" s="11"/>
      <c r="AZ279" s="11"/>
    </row>
    <row r="280" ht="15.75" customHeight="1">
      <c r="A280" s="12"/>
      <c r="B280" s="13"/>
      <c r="C280" s="14"/>
      <c r="D280" s="15"/>
      <c r="E280" s="15"/>
      <c r="F280" s="15"/>
      <c r="G280" s="15"/>
      <c r="H280" s="15"/>
      <c r="I280" s="15"/>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8"/>
      <c r="AL280" s="9"/>
      <c r="AM280" s="9"/>
      <c r="AN280" s="11"/>
      <c r="AO280" s="11"/>
      <c r="AP280" s="11"/>
      <c r="AQ280" s="11"/>
      <c r="AR280" s="11"/>
      <c r="AS280" s="11"/>
      <c r="AT280" s="11"/>
      <c r="AU280" s="11"/>
      <c r="AV280" s="11"/>
      <c r="AW280" s="11"/>
      <c r="AX280" s="11"/>
      <c r="AY280" s="11"/>
      <c r="AZ280" s="11"/>
    </row>
    <row r="281" ht="15.75" customHeight="1">
      <c r="A281" s="12"/>
      <c r="B281" s="13"/>
      <c r="C281" s="14"/>
      <c r="D281" s="15"/>
      <c r="E281" s="15"/>
      <c r="F281" s="15"/>
      <c r="G281" s="15"/>
      <c r="H281" s="15"/>
      <c r="I281" s="15"/>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8"/>
      <c r="AL281" s="9"/>
      <c r="AM281" s="9"/>
      <c r="AN281" s="11"/>
      <c r="AO281" s="11"/>
      <c r="AP281" s="11"/>
      <c r="AQ281" s="11"/>
      <c r="AR281" s="11"/>
      <c r="AS281" s="11"/>
      <c r="AT281" s="11"/>
      <c r="AU281" s="11"/>
      <c r="AV281" s="11"/>
      <c r="AW281" s="11"/>
      <c r="AX281" s="11"/>
      <c r="AY281" s="11"/>
      <c r="AZ281" s="11"/>
    </row>
    <row r="282" ht="15.75" customHeight="1">
      <c r="A282" s="12"/>
      <c r="B282" s="13"/>
      <c r="C282" s="14"/>
      <c r="D282" s="15"/>
      <c r="E282" s="15"/>
      <c r="F282" s="15"/>
      <c r="G282" s="15"/>
      <c r="H282" s="15"/>
      <c r="I282" s="15"/>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8"/>
      <c r="AL282" s="9"/>
      <c r="AM282" s="9"/>
      <c r="AN282" s="11"/>
      <c r="AO282" s="11"/>
      <c r="AP282" s="11"/>
      <c r="AQ282" s="11"/>
      <c r="AR282" s="11"/>
      <c r="AS282" s="11"/>
      <c r="AT282" s="11"/>
      <c r="AU282" s="11"/>
      <c r="AV282" s="11"/>
      <c r="AW282" s="11"/>
      <c r="AX282" s="11"/>
      <c r="AY282" s="11"/>
      <c r="AZ282" s="11"/>
    </row>
    <row r="283" ht="15.75" customHeight="1">
      <c r="A283" s="12"/>
      <c r="B283" s="13"/>
      <c r="C283" s="14"/>
      <c r="D283" s="15"/>
      <c r="E283" s="15"/>
      <c r="F283" s="15"/>
      <c r="G283" s="15"/>
      <c r="H283" s="15"/>
      <c r="I283" s="15"/>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8"/>
      <c r="AL283" s="9"/>
      <c r="AM283" s="9"/>
      <c r="AN283" s="11"/>
      <c r="AO283" s="11"/>
      <c r="AP283" s="11"/>
      <c r="AQ283" s="11"/>
      <c r="AR283" s="11"/>
      <c r="AS283" s="11"/>
      <c r="AT283" s="11"/>
      <c r="AU283" s="11"/>
      <c r="AV283" s="11"/>
      <c r="AW283" s="11"/>
      <c r="AX283" s="11"/>
      <c r="AY283" s="11"/>
      <c r="AZ283" s="11"/>
    </row>
    <row r="284" ht="15.75" customHeight="1">
      <c r="A284" s="12"/>
      <c r="B284" s="13"/>
      <c r="C284" s="14"/>
      <c r="D284" s="15"/>
      <c r="E284" s="15"/>
      <c r="F284" s="15"/>
      <c r="G284" s="15"/>
      <c r="H284" s="15"/>
      <c r="I284" s="15"/>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8"/>
      <c r="AL284" s="9"/>
      <c r="AM284" s="9"/>
      <c r="AN284" s="11"/>
      <c r="AO284" s="11"/>
      <c r="AP284" s="11"/>
      <c r="AQ284" s="11"/>
      <c r="AR284" s="11"/>
      <c r="AS284" s="11"/>
      <c r="AT284" s="11"/>
      <c r="AU284" s="11"/>
      <c r="AV284" s="11"/>
      <c r="AW284" s="11"/>
      <c r="AX284" s="11"/>
      <c r="AY284" s="11"/>
      <c r="AZ284" s="11"/>
    </row>
    <row r="285" ht="15.75" customHeight="1">
      <c r="A285" s="12"/>
      <c r="B285" s="13"/>
      <c r="C285" s="14"/>
      <c r="D285" s="15"/>
      <c r="E285" s="15"/>
      <c r="F285" s="15"/>
      <c r="G285" s="15"/>
      <c r="H285" s="15"/>
      <c r="I285" s="15"/>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8"/>
      <c r="AL285" s="9"/>
      <c r="AM285" s="9"/>
      <c r="AN285" s="11"/>
      <c r="AO285" s="11"/>
      <c r="AP285" s="11"/>
      <c r="AQ285" s="11"/>
      <c r="AR285" s="11"/>
      <c r="AS285" s="11"/>
      <c r="AT285" s="11"/>
      <c r="AU285" s="11"/>
      <c r="AV285" s="11"/>
      <c r="AW285" s="11"/>
      <c r="AX285" s="11"/>
      <c r="AY285" s="11"/>
      <c r="AZ285" s="11"/>
    </row>
    <row r="286" ht="15.75" customHeight="1">
      <c r="A286" s="12"/>
      <c r="B286" s="13"/>
      <c r="C286" s="14"/>
      <c r="D286" s="15"/>
      <c r="E286" s="15"/>
      <c r="F286" s="15"/>
      <c r="G286" s="15"/>
      <c r="H286" s="15"/>
      <c r="I286" s="15"/>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8"/>
      <c r="AL286" s="9"/>
      <c r="AM286" s="9"/>
      <c r="AN286" s="11"/>
      <c r="AO286" s="11"/>
      <c r="AP286" s="11"/>
      <c r="AQ286" s="11"/>
      <c r="AR286" s="11"/>
      <c r="AS286" s="11"/>
      <c r="AT286" s="11"/>
      <c r="AU286" s="11"/>
      <c r="AV286" s="11"/>
      <c r="AW286" s="11"/>
      <c r="AX286" s="11"/>
      <c r="AY286" s="11"/>
      <c r="AZ286" s="11"/>
    </row>
    <row r="287" ht="15.75" customHeight="1">
      <c r="A287" s="12"/>
      <c r="B287" s="13"/>
      <c r="C287" s="14"/>
      <c r="D287" s="15"/>
      <c r="E287" s="15"/>
      <c r="F287" s="15"/>
      <c r="G287" s="15"/>
      <c r="H287" s="15"/>
      <c r="I287" s="15"/>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8"/>
      <c r="AL287" s="9"/>
      <c r="AM287" s="9"/>
      <c r="AN287" s="11"/>
      <c r="AO287" s="11"/>
      <c r="AP287" s="11"/>
      <c r="AQ287" s="11"/>
      <c r="AR287" s="11"/>
      <c r="AS287" s="11"/>
      <c r="AT287" s="11"/>
      <c r="AU287" s="11"/>
      <c r="AV287" s="11"/>
      <c r="AW287" s="11"/>
      <c r="AX287" s="11"/>
      <c r="AY287" s="11"/>
      <c r="AZ287" s="11"/>
    </row>
    <row r="288" ht="15.75" customHeight="1">
      <c r="A288" s="12"/>
      <c r="B288" s="13"/>
      <c r="C288" s="14"/>
      <c r="D288" s="15"/>
      <c r="E288" s="15"/>
      <c r="F288" s="15"/>
      <c r="G288" s="15"/>
      <c r="H288" s="15"/>
      <c r="I288" s="15"/>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8"/>
      <c r="AL288" s="9"/>
      <c r="AM288" s="9"/>
      <c r="AN288" s="11"/>
      <c r="AO288" s="11"/>
      <c r="AP288" s="11"/>
      <c r="AQ288" s="11"/>
      <c r="AR288" s="11"/>
      <c r="AS288" s="11"/>
      <c r="AT288" s="11"/>
      <c r="AU288" s="11"/>
      <c r="AV288" s="11"/>
      <c r="AW288" s="11"/>
      <c r="AX288" s="11"/>
      <c r="AY288" s="11"/>
      <c r="AZ288" s="11"/>
    </row>
    <row r="289" ht="15.75" customHeight="1">
      <c r="A289" s="12"/>
      <c r="B289" s="13"/>
      <c r="C289" s="14"/>
      <c r="D289" s="15"/>
      <c r="E289" s="15"/>
      <c r="F289" s="15"/>
      <c r="G289" s="15"/>
      <c r="H289" s="15"/>
      <c r="I289" s="15"/>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8"/>
      <c r="AL289" s="9"/>
      <c r="AM289" s="9"/>
      <c r="AN289" s="11"/>
      <c r="AO289" s="11"/>
      <c r="AP289" s="11"/>
      <c r="AQ289" s="11"/>
      <c r="AR289" s="11"/>
      <c r="AS289" s="11"/>
      <c r="AT289" s="11"/>
      <c r="AU289" s="11"/>
      <c r="AV289" s="11"/>
      <c r="AW289" s="11"/>
      <c r="AX289" s="11"/>
      <c r="AY289" s="11"/>
      <c r="AZ289" s="11"/>
    </row>
    <row r="290" ht="15.75" customHeight="1">
      <c r="A290" s="12"/>
      <c r="B290" s="13"/>
      <c r="C290" s="14"/>
      <c r="D290" s="15"/>
      <c r="E290" s="15"/>
      <c r="F290" s="15"/>
      <c r="G290" s="15"/>
      <c r="H290" s="15"/>
      <c r="I290" s="15"/>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8"/>
      <c r="AL290" s="9"/>
      <c r="AM290" s="9"/>
      <c r="AN290" s="11"/>
      <c r="AO290" s="11"/>
      <c r="AP290" s="11"/>
      <c r="AQ290" s="11"/>
      <c r="AR290" s="11"/>
      <c r="AS290" s="11"/>
      <c r="AT290" s="11"/>
      <c r="AU290" s="11"/>
      <c r="AV290" s="11"/>
      <c r="AW290" s="11"/>
      <c r="AX290" s="11"/>
      <c r="AY290" s="11"/>
      <c r="AZ290" s="11"/>
    </row>
    <row r="291" ht="15.75" customHeight="1">
      <c r="A291" s="12"/>
      <c r="B291" s="13"/>
      <c r="C291" s="14"/>
      <c r="D291" s="15"/>
      <c r="E291" s="15"/>
      <c r="F291" s="15"/>
      <c r="G291" s="15"/>
      <c r="H291" s="15"/>
      <c r="I291" s="15"/>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8"/>
      <c r="AL291" s="9"/>
      <c r="AM291" s="9"/>
      <c r="AN291" s="11"/>
      <c r="AO291" s="11"/>
      <c r="AP291" s="11"/>
      <c r="AQ291" s="11"/>
      <c r="AR291" s="11"/>
      <c r="AS291" s="11"/>
      <c r="AT291" s="11"/>
      <c r="AU291" s="11"/>
      <c r="AV291" s="11"/>
      <c r="AW291" s="11"/>
      <c r="AX291" s="11"/>
      <c r="AY291" s="11"/>
      <c r="AZ291" s="11"/>
    </row>
    <row r="292" ht="15.75" customHeight="1">
      <c r="A292" s="12"/>
      <c r="B292" s="13"/>
      <c r="C292" s="14"/>
      <c r="D292" s="15"/>
      <c r="E292" s="15"/>
      <c r="F292" s="15"/>
      <c r="G292" s="15"/>
      <c r="H292" s="15"/>
      <c r="I292" s="15"/>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8"/>
      <c r="AL292" s="9"/>
      <c r="AM292" s="9"/>
      <c r="AN292" s="11"/>
      <c r="AO292" s="11"/>
      <c r="AP292" s="11"/>
      <c r="AQ292" s="11"/>
      <c r="AR292" s="11"/>
      <c r="AS292" s="11"/>
      <c r="AT292" s="11"/>
      <c r="AU292" s="11"/>
      <c r="AV292" s="11"/>
      <c r="AW292" s="11"/>
      <c r="AX292" s="11"/>
      <c r="AY292" s="11"/>
      <c r="AZ292" s="11"/>
    </row>
    <row r="293" ht="15.75" customHeight="1">
      <c r="A293" s="12"/>
      <c r="B293" s="13"/>
      <c r="C293" s="14"/>
      <c r="D293" s="15"/>
      <c r="E293" s="15"/>
      <c r="F293" s="15"/>
      <c r="G293" s="15"/>
      <c r="H293" s="15"/>
      <c r="I293" s="15"/>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8"/>
      <c r="AL293" s="9"/>
      <c r="AM293" s="9"/>
      <c r="AN293" s="11"/>
      <c r="AO293" s="11"/>
      <c r="AP293" s="11"/>
      <c r="AQ293" s="11"/>
      <c r="AR293" s="11"/>
      <c r="AS293" s="11"/>
      <c r="AT293" s="11"/>
      <c r="AU293" s="11"/>
      <c r="AV293" s="11"/>
      <c r="AW293" s="11"/>
      <c r="AX293" s="11"/>
      <c r="AY293" s="11"/>
      <c r="AZ293" s="11"/>
    </row>
    <row r="294" ht="15.75" customHeight="1">
      <c r="A294" s="12"/>
      <c r="B294" s="13"/>
      <c r="C294" s="14"/>
      <c r="D294" s="15"/>
      <c r="E294" s="15"/>
      <c r="F294" s="15"/>
      <c r="G294" s="15"/>
      <c r="H294" s="15"/>
      <c r="I294" s="15"/>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8"/>
      <c r="AL294" s="9"/>
      <c r="AM294" s="9"/>
      <c r="AN294" s="11"/>
      <c r="AO294" s="11"/>
      <c r="AP294" s="11"/>
      <c r="AQ294" s="11"/>
      <c r="AR294" s="11"/>
      <c r="AS294" s="11"/>
      <c r="AT294" s="11"/>
      <c r="AU294" s="11"/>
      <c r="AV294" s="11"/>
      <c r="AW294" s="11"/>
      <c r="AX294" s="11"/>
      <c r="AY294" s="11"/>
      <c r="AZ294" s="11"/>
    </row>
    <row r="295" ht="15.75" customHeight="1">
      <c r="A295" s="12"/>
      <c r="B295" s="13"/>
      <c r="C295" s="14"/>
      <c r="D295" s="15"/>
      <c r="E295" s="15"/>
      <c r="F295" s="15"/>
      <c r="G295" s="15"/>
      <c r="H295" s="15"/>
      <c r="I295" s="15"/>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8"/>
      <c r="AL295" s="9"/>
      <c r="AM295" s="9"/>
      <c r="AN295" s="11"/>
      <c r="AO295" s="11"/>
      <c r="AP295" s="11"/>
      <c r="AQ295" s="11"/>
      <c r="AR295" s="11"/>
      <c r="AS295" s="11"/>
      <c r="AT295" s="11"/>
      <c r="AU295" s="11"/>
      <c r="AV295" s="11"/>
      <c r="AW295" s="11"/>
      <c r="AX295" s="11"/>
      <c r="AY295" s="11"/>
      <c r="AZ295" s="11"/>
    </row>
    <row r="296" ht="15.75" customHeight="1">
      <c r="A296" s="12"/>
      <c r="B296" s="13"/>
      <c r="C296" s="14"/>
      <c r="D296" s="15"/>
      <c r="E296" s="15"/>
      <c r="F296" s="15"/>
      <c r="G296" s="15"/>
      <c r="H296" s="15"/>
      <c r="I296" s="15"/>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8"/>
      <c r="AL296" s="9"/>
      <c r="AM296" s="9"/>
      <c r="AN296" s="11"/>
      <c r="AO296" s="11"/>
      <c r="AP296" s="11"/>
      <c r="AQ296" s="11"/>
      <c r="AR296" s="11"/>
      <c r="AS296" s="11"/>
      <c r="AT296" s="11"/>
      <c r="AU296" s="11"/>
      <c r="AV296" s="11"/>
      <c r="AW296" s="11"/>
      <c r="AX296" s="11"/>
      <c r="AY296" s="11"/>
      <c r="AZ296" s="11"/>
    </row>
    <row r="297" ht="15.75" customHeight="1">
      <c r="A297" s="12"/>
      <c r="B297" s="13"/>
      <c r="C297" s="14"/>
      <c r="D297" s="15"/>
      <c r="E297" s="15"/>
      <c r="F297" s="15"/>
      <c r="G297" s="15"/>
      <c r="H297" s="15"/>
      <c r="I297" s="15"/>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8"/>
      <c r="AL297" s="9"/>
      <c r="AM297" s="9"/>
      <c r="AN297" s="11"/>
      <c r="AO297" s="11"/>
      <c r="AP297" s="11"/>
      <c r="AQ297" s="11"/>
      <c r="AR297" s="11"/>
      <c r="AS297" s="11"/>
      <c r="AT297" s="11"/>
      <c r="AU297" s="11"/>
      <c r="AV297" s="11"/>
      <c r="AW297" s="11"/>
      <c r="AX297" s="11"/>
      <c r="AY297" s="11"/>
      <c r="AZ297" s="11"/>
    </row>
    <row r="298" ht="15.75" customHeight="1">
      <c r="A298" s="12"/>
      <c r="B298" s="13"/>
      <c r="C298" s="14"/>
      <c r="D298" s="15"/>
      <c r="E298" s="15"/>
      <c r="F298" s="15"/>
      <c r="G298" s="15"/>
      <c r="H298" s="15"/>
      <c r="I298" s="15"/>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8"/>
      <c r="AL298" s="9"/>
      <c r="AM298" s="9"/>
      <c r="AN298" s="11"/>
      <c r="AO298" s="11"/>
      <c r="AP298" s="11"/>
      <c r="AQ298" s="11"/>
      <c r="AR298" s="11"/>
      <c r="AS298" s="11"/>
      <c r="AT298" s="11"/>
      <c r="AU298" s="11"/>
      <c r="AV298" s="11"/>
      <c r="AW298" s="11"/>
      <c r="AX298" s="11"/>
      <c r="AY298" s="11"/>
      <c r="AZ298" s="11"/>
    </row>
    <row r="299" ht="15.75" customHeight="1">
      <c r="A299" s="12"/>
      <c r="B299" s="13"/>
      <c r="C299" s="14"/>
      <c r="D299" s="15"/>
      <c r="E299" s="15"/>
      <c r="F299" s="15"/>
      <c r="G299" s="15"/>
      <c r="H299" s="15"/>
      <c r="I299" s="15"/>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8"/>
      <c r="AL299" s="9"/>
      <c r="AM299" s="9"/>
      <c r="AN299" s="11"/>
      <c r="AO299" s="11"/>
      <c r="AP299" s="11"/>
      <c r="AQ299" s="11"/>
      <c r="AR299" s="11"/>
      <c r="AS299" s="11"/>
      <c r="AT299" s="11"/>
      <c r="AU299" s="11"/>
      <c r="AV299" s="11"/>
      <c r="AW299" s="11"/>
      <c r="AX299" s="11"/>
      <c r="AY299" s="11"/>
      <c r="AZ299" s="11"/>
    </row>
    <row r="300" ht="15.75" customHeight="1">
      <c r="A300" s="12"/>
      <c r="B300" s="13"/>
      <c r="C300" s="14"/>
      <c r="D300" s="15"/>
      <c r="E300" s="15"/>
      <c r="F300" s="15"/>
      <c r="G300" s="15"/>
      <c r="H300" s="15"/>
      <c r="I300" s="15"/>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8"/>
      <c r="AL300" s="9"/>
      <c r="AM300" s="9"/>
      <c r="AN300" s="11"/>
      <c r="AO300" s="11"/>
      <c r="AP300" s="11"/>
      <c r="AQ300" s="11"/>
      <c r="AR300" s="11"/>
      <c r="AS300" s="11"/>
      <c r="AT300" s="11"/>
      <c r="AU300" s="11"/>
      <c r="AV300" s="11"/>
      <c r="AW300" s="11"/>
      <c r="AX300" s="11"/>
      <c r="AY300" s="11"/>
      <c r="AZ300" s="11"/>
    </row>
    <row r="301" ht="15.75" customHeight="1">
      <c r="A301" s="12"/>
      <c r="B301" s="13"/>
      <c r="C301" s="14"/>
      <c r="D301" s="15"/>
      <c r="E301" s="15"/>
      <c r="F301" s="15"/>
      <c r="G301" s="15"/>
      <c r="H301" s="15"/>
      <c r="I301" s="15"/>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8"/>
      <c r="AL301" s="9"/>
      <c r="AM301" s="9"/>
      <c r="AN301" s="11"/>
      <c r="AO301" s="11"/>
      <c r="AP301" s="11"/>
      <c r="AQ301" s="11"/>
      <c r="AR301" s="11"/>
      <c r="AS301" s="11"/>
      <c r="AT301" s="11"/>
      <c r="AU301" s="11"/>
      <c r="AV301" s="11"/>
      <c r="AW301" s="11"/>
      <c r="AX301" s="11"/>
      <c r="AY301" s="11"/>
      <c r="AZ301" s="11"/>
    </row>
    <row r="302" ht="15.75" customHeight="1">
      <c r="A302" s="12"/>
      <c r="B302" s="13"/>
      <c r="C302" s="14"/>
      <c r="D302" s="15"/>
      <c r="E302" s="15"/>
      <c r="F302" s="15"/>
      <c r="G302" s="15"/>
      <c r="H302" s="15"/>
      <c r="I302" s="15"/>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8"/>
      <c r="AL302" s="9"/>
      <c r="AM302" s="9"/>
      <c r="AN302" s="11"/>
      <c r="AO302" s="11"/>
      <c r="AP302" s="11"/>
      <c r="AQ302" s="11"/>
      <c r="AR302" s="11"/>
      <c r="AS302" s="11"/>
      <c r="AT302" s="11"/>
      <c r="AU302" s="11"/>
      <c r="AV302" s="11"/>
      <c r="AW302" s="11"/>
      <c r="AX302" s="11"/>
      <c r="AY302" s="11"/>
      <c r="AZ302" s="11"/>
    </row>
    <row r="303" ht="15.75" customHeight="1">
      <c r="A303" s="12"/>
      <c r="B303" s="13"/>
      <c r="C303" s="14"/>
      <c r="D303" s="15"/>
      <c r="E303" s="15"/>
      <c r="F303" s="15"/>
      <c r="G303" s="15"/>
      <c r="H303" s="15"/>
      <c r="I303" s="15"/>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8"/>
      <c r="AL303" s="9"/>
      <c r="AM303" s="9"/>
      <c r="AN303" s="11"/>
      <c r="AO303" s="11"/>
      <c r="AP303" s="11"/>
      <c r="AQ303" s="11"/>
      <c r="AR303" s="11"/>
      <c r="AS303" s="11"/>
      <c r="AT303" s="11"/>
      <c r="AU303" s="11"/>
      <c r="AV303" s="11"/>
      <c r="AW303" s="11"/>
      <c r="AX303" s="11"/>
      <c r="AY303" s="11"/>
      <c r="AZ303" s="11"/>
    </row>
    <row r="304" ht="15.75" customHeight="1">
      <c r="A304" s="12"/>
      <c r="B304" s="13"/>
      <c r="C304" s="14"/>
      <c r="D304" s="15"/>
      <c r="E304" s="15"/>
      <c r="F304" s="15"/>
      <c r="G304" s="15"/>
      <c r="H304" s="15"/>
      <c r="I304" s="15"/>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8"/>
      <c r="AL304" s="9"/>
      <c r="AM304" s="9"/>
      <c r="AN304" s="11"/>
      <c r="AO304" s="11"/>
      <c r="AP304" s="11"/>
      <c r="AQ304" s="11"/>
      <c r="AR304" s="11"/>
      <c r="AS304" s="11"/>
      <c r="AT304" s="11"/>
      <c r="AU304" s="11"/>
      <c r="AV304" s="11"/>
      <c r="AW304" s="11"/>
      <c r="AX304" s="11"/>
      <c r="AY304" s="11"/>
      <c r="AZ304" s="11"/>
    </row>
    <row r="305" ht="15.75" customHeight="1">
      <c r="A305" s="12"/>
      <c r="B305" s="13"/>
      <c r="C305" s="14"/>
      <c r="D305" s="15"/>
      <c r="E305" s="15"/>
      <c r="F305" s="15"/>
      <c r="G305" s="15"/>
      <c r="H305" s="15"/>
      <c r="I305" s="15"/>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8"/>
      <c r="AL305" s="9"/>
      <c r="AM305" s="9"/>
      <c r="AN305" s="11"/>
      <c r="AO305" s="11"/>
      <c r="AP305" s="11"/>
      <c r="AQ305" s="11"/>
      <c r="AR305" s="11"/>
      <c r="AS305" s="11"/>
      <c r="AT305" s="11"/>
      <c r="AU305" s="11"/>
      <c r="AV305" s="11"/>
      <c r="AW305" s="11"/>
      <c r="AX305" s="11"/>
      <c r="AY305" s="11"/>
      <c r="AZ305" s="11"/>
    </row>
    <row r="306" ht="15.75" customHeight="1">
      <c r="A306" s="12"/>
      <c r="B306" s="13"/>
      <c r="C306" s="14"/>
      <c r="D306" s="15"/>
      <c r="E306" s="15"/>
      <c r="F306" s="15"/>
      <c r="G306" s="15"/>
      <c r="H306" s="15"/>
      <c r="I306" s="15"/>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8"/>
      <c r="AL306" s="9"/>
      <c r="AM306" s="9"/>
      <c r="AN306" s="11"/>
      <c r="AO306" s="11"/>
      <c r="AP306" s="11"/>
      <c r="AQ306" s="11"/>
      <c r="AR306" s="11"/>
      <c r="AS306" s="11"/>
      <c r="AT306" s="11"/>
      <c r="AU306" s="11"/>
      <c r="AV306" s="11"/>
      <c r="AW306" s="11"/>
      <c r="AX306" s="11"/>
      <c r="AY306" s="11"/>
      <c r="AZ306" s="11"/>
    </row>
    <row r="307" ht="15.75" customHeight="1">
      <c r="A307" s="12"/>
      <c r="B307" s="13"/>
      <c r="C307" s="14"/>
      <c r="D307" s="15"/>
      <c r="E307" s="15"/>
      <c r="F307" s="15"/>
      <c r="G307" s="15"/>
      <c r="H307" s="15"/>
      <c r="I307" s="15"/>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8"/>
      <c r="AL307" s="9"/>
      <c r="AM307" s="9"/>
      <c r="AN307" s="11"/>
      <c r="AO307" s="11"/>
      <c r="AP307" s="11"/>
      <c r="AQ307" s="11"/>
      <c r="AR307" s="11"/>
      <c r="AS307" s="11"/>
      <c r="AT307" s="11"/>
      <c r="AU307" s="11"/>
      <c r="AV307" s="11"/>
      <c r="AW307" s="11"/>
      <c r="AX307" s="11"/>
      <c r="AY307" s="11"/>
      <c r="AZ307" s="11"/>
    </row>
    <row r="308" ht="15.75" customHeight="1">
      <c r="A308" s="12"/>
      <c r="B308" s="13"/>
      <c r="C308" s="14"/>
      <c r="D308" s="15"/>
      <c r="E308" s="15"/>
      <c r="F308" s="15"/>
      <c r="G308" s="15"/>
      <c r="H308" s="15"/>
      <c r="I308" s="15"/>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8"/>
      <c r="AL308" s="9"/>
      <c r="AM308" s="9"/>
      <c r="AN308" s="11"/>
      <c r="AO308" s="11"/>
      <c r="AP308" s="11"/>
      <c r="AQ308" s="11"/>
      <c r="AR308" s="11"/>
      <c r="AS308" s="11"/>
      <c r="AT308" s="11"/>
      <c r="AU308" s="11"/>
      <c r="AV308" s="11"/>
      <c r="AW308" s="11"/>
      <c r="AX308" s="11"/>
      <c r="AY308" s="11"/>
      <c r="AZ308" s="11"/>
    </row>
    <row r="309" ht="15.75" customHeight="1">
      <c r="A309" s="12"/>
      <c r="B309" s="13"/>
      <c r="C309" s="14"/>
      <c r="D309" s="15"/>
      <c r="E309" s="15"/>
      <c r="F309" s="15"/>
      <c r="G309" s="15"/>
      <c r="H309" s="15"/>
      <c r="I309" s="15"/>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8"/>
      <c r="AL309" s="9"/>
      <c r="AM309" s="9"/>
      <c r="AN309" s="11"/>
      <c r="AO309" s="11"/>
      <c r="AP309" s="11"/>
      <c r="AQ309" s="11"/>
      <c r="AR309" s="11"/>
      <c r="AS309" s="11"/>
      <c r="AT309" s="11"/>
      <c r="AU309" s="11"/>
      <c r="AV309" s="11"/>
      <c r="AW309" s="11"/>
      <c r="AX309" s="11"/>
      <c r="AY309" s="11"/>
      <c r="AZ309" s="11"/>
    </row>
    <row r="310" ht="15.75" customHeight="1">
      <c r="A310" s="12"/>
      <c r="B310" s="13"/>
      <c r="C310" s="14"/>
      <c r="D310" s="15"/>
      <c r="E310" s="15"/>
      <c r="F310" s="15"/>
      <c r="G310" s="15"/>
      <c r="H310" s="15"/>
      <c r="I310" s="15"/>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8"/>
      <c r="AL310" s="9"/>
      <c r="AM310" s="9"/>
      <c r="AN310" s="11"/>
      <c r="AO310" s="11"/>
      <c r="AP310" s="11"/>
      <c r="AQ310" s="11"/>
      <c r="AR310" s="11"/>
      <c r="AS310" s="11"/>
      <c r="AT310" s="11"/>
      <c r="AU310" s="11"/>
      <c r="AV310" s="11"/>
      <c r="AW310" s="11"/>
      <c r="AX310" s="11"/>
      <c r="AY310" s="11"/>
      <c r="AZ310" s="11"/>
    </row>
    <row r="311" ht="15.75" customHeight="1">
      <c r="A311" s="12"/>
      <c r="B311" s="13"/>
      <c r="C311" s="14"/>
      <c r="D311" s="15"/>
      <c r="E311" s="15"/>
      <c r="F311" s="15"/>
      <c r="G311" s="15"/>
      <c r="H311" s="15"/>
      <c r="I311" s="15"/>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8"/>
      <c r="AL311" s="9"/>
      <c r="AM311" s="9"/>
      <c r="AN311" s="11"/>
      <c r="AO311" s="11"/>
      <c r="AP311" s="11"/>
      <c r="AQ311" s="11"/>
      <c r="AR311" s="11"/>
      <c r="AS311" s="11"/>
      <c r="AT311" s="11"/>
      <c r="AU311" s="11"/>
      <c r="AV311" s="11"/>
      <c r="AW311" s="11"/>
      <c r="AX311" s="11"/>
      <c r="AY311" s="11"/>
      <c r="AZ311" s="11"/>
    </row>
    <row r="312" ht="15.75" customHeight="1">
      <c r="A312" s="12"/>
      <c r="B312" s="13"/>
      <c r="C312" s="14"/>
      <c r="D312" s="15"/>
      <c r="E312" s="15"/>
      <c r="F312" s="15"/>
      <c r="G312" s="15"/>
      <c r="H312" s="15"/>
      <c r="I312" s="15"/>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8"/>
      <c r="AL312" s="9"/>
      <c r="AM312" s="9"/>
      <c r="AN312" s="11"/>
      <c r="AO312" s="11"/>
      <c r="AP312" s="11"/>
      <c r="AQ312" s="11"/>
      <c r="AR312" s="11"/>
      <c r="AS312" s="11"/>
      <c r="AT312" s="11"/>
      <c r="AU312" s="11"/>
      <c r="AV312" s="11"/>
      <c r="AW312" s="11"/>
      <c r="AX312" s="11"/>
      <c r="AY312" s="11"/>
      <c r="AZ312" s="11"/>
    </row>
    <row r="313" ht="15.75" customHeight="1">
      <c r="A313" s="12"/>
      <c r="B313" s="13"/>
      <c r="C313" s="14"/>
      <c r="D313" s="15"/>
      <c r="E313" s="15"/>
      <c r="F313" s="15"/>
      <c r="G313" s="15"/>
      <c r="H313" s="15"/>
      <c r="I313" s="15"/>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8"/>
      <c r="AL313" s="9"/>
      <c r="AM313" s="9"/>
      <c r="AN313" s="11"/>
      <c r="AO313" s="11"/>
      <c r="AP313" s="11"/>
      <c r="AQ313" s="11"/>
      <c r="AR313" s="11"/>
      <c r="AS313" s="11"/>
      <c r="AT313" s="11"/>
      <c r="AU313" s="11"/>
      <c r="AV313" s="11"/>
      <c r="AW313" s="11"/>
      <c r="AX313" s="11"/>
      <c r="AY313" s="11"/>
      <c r="AZ313" s="11"/>
    </row>
    <row r="314" ht="15.75" customHeight="1">
      <c r="A314" s="12"/>
      <c r="B314" s="13"/>
      <c r="C314" s="14"/>
      <c r="D314" s="15"/>
      <c r="E314" s="15"/>
      <c r="F314" s="15"/>
      <c r="G314" s="15"/>
      <c r="H314" s="15"/>
      <c r="I314" s="15"/>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8"/>
      <c r="AL314" s="9"/>
      <c r="AM314" s="9"/>
      <c r="AN314" s="11"/>
      <c r="AO314" s="11"/>
      <c r="AP314" s="11"/>
      <c r="AQ314" s="11"/>
      <c r="AR314" s="11"/>
      <c r="AS314" s="11"/>
      <c r="AT314" s="11"/>
      <c r="AU314" s="11"/>
      <c r="AV314" s="11"/>
      <c r="AW314" s="11"/>
      <c r="AX314" s="11"/>
      <c r="AY314" s="11"/>
      <c r="AZ314" s="11"/>
    </row>
    <row r="315" ht="15.75" customHeight="1">
      <c r="A315" s="12"/>
      <c r="B315" s="13"/>
      <c r="C315" s="14"/>
      <c r="D315" s="15"/>
      <c r="E315" s="15"/>
      <c r="F315" s="15"/>
      <c r="G315" s="15"/>
      <c r="H315" s="15"/>
      <c r="I315" s="15"/>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8"/>
      <c r="AL315" s="9"/>
      <c r="AM315" s="9"/>
      <c r="AN315" s="11"/>
      <c r="AO315" s="11"/>
      <c r="AP315" s="11"/>
      <c r="AQ315" s="11"/>
      <c r="AR315" s="11"/>
      <c r="AS315" s="11"/>
      <c r="AT315" s="11"/>
      <c r="AU315" s="11"/>
      <c r="AV315" s="11"/>
      <c r="AW315" s="11"/>
      <c r="AX315" s="11"/>
      <c r="AY315" s="11"/>
      <c r="AZ315" s="11"/>
    </row>
    <row r="316" ht="15.75" customHeight="1">
      <c r="A316" s="12"/>
      <c r="B316" s="13"/>
      <c r="C316" s="14"/>
      <c r="D316" s="15"/>
      <c r="E316" s="15"/>
      <c r="F316" s="15"/>
      <c r="G316" s="15"/>
      <c r="H316" s="15"/>
      <c r="I316" s="15"/>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8"/>
      <c r="AL316" s="9"/>
      <c r="AM316" s="9"/>
      <c r="AN316" s="11"/>
      <c r="AO316" s="11"/>
      <c r="AP316" s="11"/>
      <c r="AQ316" s="11"/>
      <c r="AR316" s="11"/>
      <c r="AS316" s="11"/>
      <c r="AT316" s="11"/>
      <c r="AU316" s="11"/>
      <c r="AV316" s="11"/>
      <c r="AW316" s="11"/>
      <c r="AX316" s="11"/>
      <c r="AY316" s="11"/>
      <c r="AZ316" s="11"/>
    </row>
    <row r="317" ht="15.75" customHeight="1">
      <c r="A317" s="12"/>
      <c r="B317" s="13"/>
      <c r="C317" s="14"/>
      <c r="D317" s="15"/>
      <c r="E317" s="15"/>
      <c r="F317" s="15"/>
      <c r="G317" s="15"/>
      <c r="H317" s="15"/>
      <c r="I317" s="15"/>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8"/>
      <c r="AL317" s="9"/>
      <c r="AM317" s="9"/>
      <c r="AN317" s="11"/>
      <c r="AO317" s="11"/>
      <c r="AP317" s="11"/>
      <c r="AQ317" s="11"/>
      <c r="AR317" s="11"/>
      <c r="AS317" s="11"/>
      <c r="AT317" s="11"/>
      <c r="AU317" s="11"/>
      <c r="AV317" s="11"/>
      <c r="AW317" s="11"/>
      <c r="AX317" s="11"/>
      <c r="AY317" s="11"/>
      <c r="AZ317" s="11"/>
    </row>
    <row r="318" ht="15.75" customHeight="1">
      <c r="A318" s="12"/>
      <c r="B318" s="13"/>
      <c r="C318" s="14"/>
      <c r="D318" s="15"/>
      <c r="E318" s="15"/>
      <c r="F318" s="15"/>
      <c r="G318" s="15"/>
      <c r="H318" s="15"/>
      <c r="I318" s="15"/>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8"/>
      <c r="AL318" s="9"/>
      <c r="AM318" s="9"/>
      <c r="AN318" s="11"/>
      <c r="AO318" s="11"/>
      <c r="AP318" s="11"/>
      <c r="AQ318" s="11"/>
      <c r="AR318" s="11"/>
      <c r="AS318" s="11"/>
      <c r="AT318" s="11"/>
      <c r="AU318" s="11"/>
      <c r="AV318" s="11"/>
      <c r="AW318" s="11"/>
      <c r="AX318" s="11"/>
      <c r="AY318" s="11"/>
      <c r="AZ318" s="11"/>
    </row>
    <row r="319" ht="15.75" customHeight="1">
      <c r="A319" s="12"/>
      <c r="B319" s="13"/>
      <c r="C319" s="14"/>
      <c r="D319" s="15"/>
      <c r="E319" s="15"/>
      <c r="F319" s="15"/>
      <c r="G319" s="15"/>
      <c r="H319" s="15"/>
      <c r="I319" s="15"/>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8"/>
      <c r="AL319" s="9"/>
      <c r="AM319" s="9"/>
      <c r="AN319" s="11"/>
      <c r="AO319" s="11"/>
      <c r="AP319" s="11"/>
      <c r="AQ319" s="11"/>
      <c r="AR319" s="11"/>
      <c r="AS319" s="11"/>
      <c r="AT319" s="11"/>
      <c r="AU319" s="11"/>
      <c r="AV319" s="11"/>
      <c r="AW319" s="11"/>
      <c r="AX319" s="11"/>
      <c r="AY319" s="11"/>
      <c r="AZ319" s="11"/>
    </row>
    <row r="320" ht="15.75" customHeight="1">
      <c r="A320" s="12"/>
      <c r="B320" s="13"/>
      <c r="C320" s="14"/>
      <c r="D320" s="15"/>
      <c r="E320" s="15"/>
      <c r="F320" s="15"/>
      <c r="G320" s="15"/>
      <c r="H320" s="15"/>
      <c r="I320" s="15"/>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8"/>
      <c r="AL320" s="9"/>
      <c r="AM320" s="9"/>
      <c r="AN320" s="11"/>
      <c r="AO320" s="11"/>
      <c r="AP320" s="11"/>
      <c r="AQ320" s="11"/>
      <c r="AR320" s="11"/>
      <c r="AS320" s="11"/>
      <c r="AT320" s="11"/>
      <c r="AU320" s="11"/>
      <c r="AV320" s="11"/>
      <c r="AW320" s="11"/>
      <c r="AX320" s="11"/>
      <c r="AY320" s="11"/>
      <c r="AZ320" s="11"/>
    </row>
    <row r="321" ht="15.75" customHeight="1">
      <c r="A321" s="12"/>
      <c r="B321" s="13"/>
      <c r="C321" s="14"/>
      <c r="D321" s="15"/>
      <c r="E321" s="15"/>
      <c r="F321" s="15"/>
      <c r="G321" s="15"/>
      <c r="H321" s="15"/>
      <c r="I321" s="15"/>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8"/>
      <c r="AL321" s="9"/>
      <c r="AM321" s="9"/>
      <c r="AN321" s="11"/>
      <c r="AO321" s="11"/>
      <c r="AP321" s="11"/>
      <c r="AQ321" s="11"/>
      <c r="AR321" s="11"/>
      <c r="AS321" s="11"/>
      <c r="AT321" s="11"/>
      <c r="AU321" s="11"/>
      <c r="AV321" s="11"/>
      <c r="AW321" s="11"/>
      <c r="AX321" s="11"/>
      <c r="AY321" s="11"/>
      <c r="AZ321" s="11"/>
    </row>
    <row r="322" ht="15.75" customHeight="1">
      <c r="A322" s="12"/>
      <c r="B322" s="13"/>
      <c r="C322" s="14"/>
      <c r="D322" s="15"/>
      <c r="E322" s="15"/>
      <c r="F322" s="15"/>
      <c r="G322" s="15"/>
      <c r="H322" s="15"/>
      <c r="I322" s="15"/>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8"/>
      <c r="AL322" s="9"/>
      <c r="AM322" s="9"/>
      <c r="AN322" s="11"/>
      <c r="AO322" s="11"/>
      <c r="AP322" s="11"/>
      <c r="AQ322" s="11"/>
      <c r="AR322" s="11"/>
      <c r="AS322" s="11"/>
      <c r="AT322" s="11"/>
      <c r="AU322" s="11"/>
      <c r="AV322" s="11"/>
      <c r="AW322" s="11"/>
      <c r="AX322" s="11"/>
      <c r="AY322" s="11"/>
      <c r="AZ322" s="11"/>
    </row>
    <row r="323" ht="15.75" customHeight="1">
      <c r="A323" s="12"/>
      <c r="B323" s="13"/>
      <c r="C323" s="14"/>
      <c r="D323" s="15"/>
      <c r="E323" s="15"/>
      <c r="F323" s="15"/>
      <c r="G323" s="15"/>
      <c r="H323" s="15"/>
      <c r="I323" s="15"/>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8"/>
      <c r="AL323" s="9"/>
      <c r="AM323" s="9"/>
      <c r="AN323" s="11"/>
      <c r="AO323" s="11"/>
      <c r="AP323" s="11"/>
      <c r="AQ323" s="11"/>
      <c r="AR323" s="11"/>
      <c r="AS323" s="11"/>
      <c r="AT323" s="11"/>
      <c r="AU323" s="11"/>
      <c r="AV323" s="11"/>
      <c r="AW323" s="11"/>
      <c r="AX323" s="11"/>
      <c r="AY323" s="11"/>
      <c r="AZ323" s="11"/>
    </row>
    <row r="324" ht="15.75" customHeight="1">
      <c r="A324" s="12"/>
      <c r="B324" s="13"/>
      <c r="C324" s="14"/>
      <c r="D324" s="15"/>
      <c r="E324" s="15"/>
      <c r="F324" s="15"/>
      <c r="G324" s="15"/>
      <c r="H324" s="15"/>
      <c r="I324" s="15"/>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8"/>
      <c r="AL324" s="9"/>
      <c r="AM324" s="9"/>
      <c r="AN324" s="11"/>
      <c r="AO324" s="11"/>
      <c r="AP324" s="11"/>
      <c r="AQ324" s="11"/>
      <c r="AR324" s="11"/>
      <c r="AS324" s="11"/>
      <c r="AT324" s="11"/>
      <c r="AU324" s="11"/>
      <c r="AV324" s="11"/>
      <c r="AW324" s="11"/>
      <c r="AX324" s="11"/>
      <c r="AY324" s="11"/>
      <c r="AZ324" s="11"/>
    </row>
    <row r="325" ht="15.75" customHeight="1">
      <c r="A325" s="12"/>
      <c r="B325" s="13"/>
      <c r="C325" s="14"/>
      <c r="D325" s="15"/>
      <c r="E325" s="15"/>
      <c r="F325" s="15"/>
      <c r="G325" s="15"/>
      <c r="H325" s="15"/>
      <c r="I325" s="15"/>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8"/>
      <c r="AL325" s="9"/>
      <c r="AM325" s="9"/>
      <c r="AN325" s="11"/>
      <c r="AO325" s="11"/>
      <c r="AP325" s="11"/>
      <c r="AQ325" s="11"/>
      <c r="AR325" s="11"/>
      <c r="AS325" s="11"/>
      <c r="AT325" s="11"/>
      <c r="AU325" s="11"/>
      <c r="AV325" s="11"/>
      <c r="AW325" s="11"/>
      <c r="AX325" s="11"/>
      <c r="AY325" s="11"/>
      <c r="AZ325" s="11"/>
    </row>
    <row r="326" ht="15.75" customHeight="1">
      <c r="A326" s="12"/>
      <c r="B326" s="13"/>
      <c r="C326" s="14"/>
      <c r="D326" s="15"/>
      <c r="E326" s="15"/>
      <c r="F326" s="15"/>
      <c r="G326" s="15"/>
      <c r="H326" s="15"/>
      <c r="I326" s="15"/>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8"/>
      <c r="AL326" s="9"/>
      <c r="AM326" s="9"/>
      <c r="AN326" s="11"/>
      <c r="AO326" s="11"/>
      <c r="AP326" s="11"/>
      <c r="AQ326" s="11"/>
      <c r="AR326" s="11"/>
      <c r="AS326" s="11"/>
      <c r="AT326" s="11"/>
      <c r="AU326" s="11"/>
      <c r="AV326" s="11"/>
      <c r="AW326" s="11"/>
      <c r="AX326" s="11"/>
      <c r="AY326" s="11"/>
      <c r="AZ326" s="11"/>
    </row>
    <row r="327" ht="15.75" customHeight="1">
      <c r="A327" s="12"/>
      <c r="B327" s="13"/>
      <c r="C327" s="14"/>
      <c r="D327" s="15"/>
      <c r="E327" s="15"/>
      <c r="F327" s="15"/>
      <c r="G327" s="15"/>
      <c r="H327" s="15"/>
      <c r="I327" s="15"/>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8"/>
      <c r="AL327" s="9"/>
      <c r="AM327" s="9"/>
      <c r="AN327" s="11"/>
      <c r="AO327" s="11"/>
      <c r="AP327" s="11"/>
      <c r="AQ327" s="11"/>
      <c r="AR327" s="11"/>
      <c r="AS327" s="11"/>
      <c r="AT327" s="11"/>
      <c r="AU327" s="11"/>
      <c r="AV327" s="11"/>
      <c r="AW327" s="11"/>
      <c r="AX327" s="11"/>
      <c r="AY327" s="11"/>
      <c r="AZ327" s="11"/>
    </row>
    <row r="328" ht="15.75" customHeight="1">
      <c r="A328" s="12"/>
      <c r="B328" s="13"/>
      <c r="C328" s="14"/>
      <c r="D328" s="15"/>
      <c r="E328" s="15"/>
      <c r="F328" s="15"/>
      <c r="G328" s="15"/>
      <c r="H328" s="15"/>
      <c r="I328" s="15"/>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8"/>
      <c r="AL328" s="9"/>
      <c r="AM328" s="9"/>
      <c r="AN328" s="11"/>
      <c r="AO328" s="11"/>
      <c r="AP328" s="11"/>
      <c r="AQ328" s="11"/>
      <c r="AR328" s="11"/>
      <c r="AS328" s="11"/>
      <c r="AT328" s="11"/>
      <c r="AU328" s="11"/>
      <c r="AV328" s="11"/>
      <c r="AW328" s="11"/>
      <c r="AX328" s="11"/>
      <c r="AY328" s="11"/>
      <c r="AZ328" s="11"/>
    </row>
    <row r="329" ht="15.75" customHeight="1">
      <c r="A329" s="12"/>
      <c r="B329" s="13"/>
      <c r="C329" s="14"/>
      <c r="D329" s="15"/>
      <c r="E329" s="15"/>
      <c r="F329" s="15"/>
      <c r="G329" s="15"/>
      <c r="H329" s="15"/>
      <c r="I329" s="15"/>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8"/>
      <c r="AL329" s="9"/>
      <c r="AM329" s="9"/>
      <c r="AN329" s="11"/>
      <c r="AO329" s="11"/>
      <c r="AP329" s="11"/>
      <c r="AQ329" s="11"/>
      <c r="AR329" s="11"/>
      <c r="AS329" s="11"/>
      <c r="AT329" s="11"/>
      <c r="AU329" s="11"/>
      <c r="AV329" s="11"/>
      <c r="AW329" s="11"/>
      <c r="AX329" s="11"/>
      <c r="AY329" s="11"/>
      <c r="AZ329" s="11"/>
    </row>
    <row r="330" ht="15.75" customHeight="1">
      <c r="A330" s="12"/>
      <c r="B330" s="13"/>
      <c r="C330" s="14"/>
      <c r="D330" s="15"/>
      <c r="E330" s="15"/>
      <c r="F330" s="15"/>
      <c r="G330" s="15"/>
      <c r="H330" s="15"/>
      <c r="I330" s="15"/>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8"/>
      <c r="AL330" s="9"/>
      <c r="AM330" s="9"/>
      <c r="AN330" s="11"/>
      <c r="AO330" s="11"/>
      <c r="AP330" s="11"/>
      <c r="AQ330" s="11"/>
      <c r="AR330" s="11"/>
      <c r="AS330" s="11"/>
      <c r="AT330" s="11"/>
      <c r="AU330" s="11"/>
      <c r="AV330" s="11"/>
      <c r="AW330" s="11"/>
      <c r="AX330" s="11"/>
      <c r="AY330" s="11"/>
      <c r="AZ330" s="11"/>
    </row>
    <row r="331" ht="15.75" customHeight="1">
      <c r="A331" s="12"/>
      <c r="B331" s="13"/>
      <c r="C331" s="14"/>
      <c r="D331" s="15"/>
      <c r="E331" s="15"/>
      <c r="F331" s="15"/>
      <c r="G331" s="15"/>
      <c r="H331" s="15"/>
      <c r="I331" s="15"/>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8"/>
      <c r="AL331" s="9"/>
      <c r="AM331" s="9"/>
      <c r="AN331" s="11"/>
      <c r="AO331" s="11"/>
      <c r="AP331" s="11"/>
      <c r="AQ331" s="11"/>
      <c r="AR331" s="11"/>
      <c r="AS331" s="11"/>
      <c r="AT331" s="11"/>
      <c r="AU331" s="11"/>
      <c r="AV331" s="11"/>
      <c r="AW331" s="11"/>
      <c r="AX331" s="11"/>
      <c r="AY331" s="11"/>
      <c r="AZ331" s="11"/>
    </row>
    <row r="332" ht="15.75" customHeight="1">
      <c r="A332" s="12"/>
      <c r="B332" s="13"/>
      <c r="C332" s="14"/>
      <c r="D332" s="15"/>
      <c r="E332" s="15"/>
      <c r="F332" s="15"/>
      <c r="G332" s="15"/>
      <c r="H332" s="15"/>
      <c r="I332" s="15"/>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8"/>
      <c r="AL332" s="9"/>
      <c r="AM332" s="9"/>
      <c r="AN332" s="11"/>
      <c r="AO332" s="11"/>
      <c r="AP332" s="11"/>
      <c r="AQ332" s="11"/>
      <c r="AR332" s="11"/>
      <c r="AS332" s="11"/>
      <c r="AT332" s="11"/>
      <c r="AU332" s="11"/>
      <c r="AV332" s="11"/>
      <c r="AW332" s="11"/>
      <c r="AX332" s="11"/>
      <c r="AY332" s="11"/>
      <c r="AZ332" s="11"/>
    </row>
    <row r="333" ht="15.75" customHeight="1">
      <c r="A333" s="12"/>
      <c r="B333" s="13"/>
      <c r="C333" s="14"/>
      <c r="D333" s="15"/>
      <c r="E333" s="15"/>
      <c r="F333" s="15"/>
      <c r="G333" s="15"/>
      <c r="H333" s="15"/>
      <c r="I333" s="15"/>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8"/>
      <c r="AL333" s="9"/>
      <c r="AM333" s="9"/>
      <c r="AN333" s="11"/>
      <c r="AO333" s="11"/>
      <c r="AP333" s="11"/>
      <c r="AQ333" s="11"/>
      <c r="AR333" s="11"/>
      <c r="AS333" s="11"/>
      <c r="AT333" s="11"/>
      <c r="AU333" s="11"/>
      <c r="AV333" s="11"/>
      <c r="AW333" s="11"/>
      <c r="AX333" s="11"/>
      <c r="AY333" s="11"/>
      <c r="AZ333" s="11"/>
    </row>
    <row r="334" ht="15.75" customHeight="1">
      <c r="A334" s="12"/>
      <c r="B334" s="13"/>
      <c r="C334" s="14"/>
      <c r="D334" s="15"/>
      <c r="E334" s="15"/>
      <c r="F334" s="15"/>
      <c r="G334" s="15"/>
      <c r="H334" s="15"/>
      <c r="I334" s="15"/>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8"/>
      <c r="AL334" s="9"/>
      <c r="AM334" s="9"/>
      <c r="AN334" s="11"/>
      <c r="AO334" s="11"/>
      <c r="AP334" s="11"/>
      <c r="AQ334" s="11"/>
      <c r="AR334" s="11"/>
      <c r="AS334" s="11"/>
      <c r="AT334" s="11"/>
      <c r="AU334" s="11"/>
      <c r="AV334" s="11"/>
      <c r="AW334" s="11"/>
      <c r="AX334" s="11"/>
      <c r="AY334" s="11"/>
      <c r="AZ334" s="11"/>
    </row>
    <row r="335" ht="15.75" customHeight="1">
      <c r="A335" s="12"/>
      <c r="B335" s="13"/>
      <c r="C335" s="14"/>
      <c r="D335" s="15"/>
      <c r="E335" s="15"/>
      <c r="F335" s="15"/>
      <c r="G335" s="15"/>
      <c r="H335" s="15"/>
      <c r="I335" s="15"/>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8"/>
      <c r="AL335" s="9"/>
      <c r="AM335" s="9"/>
      <c r="AN335" s="11"/>
      <c r="AO335" s="11"/>
      <c r="AP335" s="11"/>
      <c r="AQ335" s="11"/>
      <c r="AR335" s="11"/>
      <c r="AS335" s="11"/>
      <c r="AT335" s="11"/>
      <c r="AU335" s="11"/>
      <c r="AV335" s="11"/>
      <c r="AW335" s="11"/>
      <c r="AX335" s="11"/>
      <c r="AY335" s="11"/>
      <c r="AZ335" s="11"/>
    </row>
    <row r="336" ht="15.75" customHeight="1">
      <c r="A336" s="12"/>
      <c r="B336" s="13"/>
      <c r="C336" s="14"/>
      <c r="D336" s="15"/>
      <c r="E336" s="15"/>
      <c r="F336" s="15"/>
      <c r="G336" s="15"/>
      <c r="H336" s="15"/>
      <c r="I336" s="15"/>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8"/>
      <c r="AL336" s="9"/>
      <c r="AM336" s="9"/>
      <c r="AN336" s="11"/>
      <c r="AO336" s="11"/>
      <c r="AP336" s="11"/>
      <c r="AQ336" s="11"/>
      <c r="AR336" s="11"/>
      <c r="AS336" s="11"/>
      <c r="AT336" s="11"/>
      <c r="AU336" s="11"/>
      <c r="AV336" s="11"/>
      <c r="AW336" s="11"/>
      <c r="AX336" s="11"/>
      <c r="AY336" s="11"/>
      <c r="AZ336" s="11"/>
    </row>
    <row r="337" ht="15.75" customHeight="1">
      <c r="A337" s="12"/>
      <c r="B337" s="13"/>
      <c r="C337" s="14"/>
      <c r="D337" s="15"/>
      <c r="E337" s="15"/>
      <c r="F337" s="15"/>
      <c r="G337" s="15"/>
      <c r="H337" s="15"/>
      <c r="I337" s="15"/>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8"/>
      <c r="AL337" s="9"/>
      <c r="AM337" s="9"/>
      <c r="AN337" s="11"/>
      <c r="AO337" s="11"/>
      <c r="AP337" s="11"/>
      <c r="AQ337" s="11"/>
      <c r="AR337" s="11"/>
      <c r="AS337" s="11"/>
      <c r="AT337" s="11"/>
      <c r="AU337" s="11"/>
      <c r="AV337" s="11"/>
      <c r="AW337" s="11"/>
      <c r="AX337" s="11"/>
      <c r="AY337" s="11"/>
      <c r="AZ337" s="11"/>
    </row>
    <row r="338" ht="15.75" customHeight="1">
      <c r="A338" s="12"/>
      <c r="B338" s="13"/>
      <c r="C338" s="14"/>
      <c r="D338" s="15"/>
      <c r="E338" s="15"/>
      <c r="F338" s="15"/>
      <c r="G338" s="15"/>
      <c r="H338" s="15"/>
      <c r="I338" s="15"/>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8"/>
      <c r="AL338" s="9"/>
      <c r="AM338" s="9"/>
      <c r="AN338" s="11"/>
      <c r="AO338" s="11"/>
      <c r="AP338" s="11"/>
      <c r="AQ338" s="11"/>
      <c r="AR338" s="11"/>
      <c r="AS338" s="11"/>
      <c r="AT338" s="11"/>
      <c r="AU338" s="11"/>
      <c r="AV338" s="11"/>
      <c r="AW338" s="11"/>
      <c r="AX338" s="11"/>
      <c r="AY338" s="11"/>
      <c r="AZ338" s="11"/>
    </row>
    <row r="339" ht="15.75" customHeight="1">
      <c r="A339" s="12"/>
      <c r="B339" s="13"/>
      <c r="C339" s="14"/>
      <c r="D339" s="15"/>
      <c r="E339" s="15"/>
      <c r="F339" s="15"/>
      <c r="G339" s="15"/>
      <c r="H339" s="15"/>
      <c r="I339" s="15"/>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8"/>
      <c r="AL339" s="9"/>
      <c r="AM339" s="9"/>
      <c r="AN339" s="11"/>
      <c r="AO339" s="11"/>
      <c r="AP339" s="11"/>
      <c r="AQ339" s="11"/>
      <c r="AR339" s="11"/>
      <c r="AS339" s="11"/>
      <c r="AT339" s="11"/>
      <c r="AU339" s="11"/>
      <c r="AV339" s="11"/>
      <c r="AW339" s="11"/>
      <c r="AX339" s="11"/>
      <c r="AY339" s="11"/>
      <c r="AZ339" s="11"/>
    </row>
    <row r="340" ht="15.75" customHeight="1">
      <c r="A340" s="12"/>
      <c r="B340" s="13"/>
      <c r="C340" s="14"/>
      <c r="D340" s="15"/>
      <c r="E340" s="15"/>
      <c r="F340" s="15"/>
      <c r="G340" s="15"/>
      <c r="H340" s="15"/>
      <c r="I340" s="15"/>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8"/>
      <c r="AL340" s="9"/>
      <c r="AM340" s="9"/>
      <c r="AN340" s="11"/>
      <c r="AO340" s="11"/>
      <c r="AP340" s="11"/>
      <c r="AQ340" s="11"/>
      <c r="AR340" s="11"/>
      <c r="AS340" s="11"/>
      <c r="AT340" s="11"/>
      <c r="AU340" s="11"/>
      <c r="AV340" s="11"/>
      <c r="AW340" s="11"/>
      <c r="AX340" s="11"/>
      <c r="AY340" s="11"/>
      <c r="AZ340" s="11"/>
    </row>
    <row r="341" ht="15.75" customHeight="1">
      <c r="A341" s="12"/>
      <c r="B341" s="13"/>
      <c r="C341" s="14"/>
      <c r="D341" s="15"/>
      <c r="E341" s="15"/>
      <c r="F341" s="15"/>
      <c r="G341" s="15"/>
      <c r="H341" s="15"/>
      <c r="I341" s="15"/>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8"/>
      <c r="AL341" s="9"/>
      <c r="AM341" s="9"/>
      <c r="AN341" s="11"/>
      <c r="AO341" s="11"/>
      <c r="AP341" s="11"/>
      <c r="AQ341" s="11"/>
      <c r="AR341" s="11"/>
      <c r="AS341" s="11"/>
      <c r="AT341" s="11"/>
      <c r="AU341" s="11"/>
      <c r="AV341" s="11"/>
      <c r="AW341" s="11"/>
      <c r="AX341" s="11"/>
      <c r="AY341" s="11"/>
      <c r="AZ341" s="11"/>
    </row>
    <row r="342" ht="15.75" customHeight="1">
      <c r="A342" s="12"/>
      <c r="B342" s="13"/>
      <c r="C342" s="14"/>
      <c r="D342" s="15"/>
      <c r="E342" s="15"/>
      <c r="F342" s="15"/>
      <c r="G342" s="15"/>
      <c r="H342" s="15"/>
      <c r="I342" s="15"/>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8"/>
      <c r="AL342" s="9"/>
      <c r="AM342" s="9"/>
      <c r="AN342" s="11"/>
      <c r="AO342" s="11"/>
      <c r="AP342" s="11"/>
      <c r="AQ342" s="11"/>
      <c r="AR342" s="11"/>
      <c r="AS342" s="11"/>
      <c r="AT342" s="11"/>
      <c r="AU342" s="11"/>
      <c r="AV342" s="11"/>
      <c r="AW342" s="11"/>
      <c r="AX342" s="11"/>
      <c r="AY342" s="11"/>
      <c r="AZ342" s="11"/>
    </row>
    <row r="343" ht="15.75" customHeight="1">
      <c r="A343" s="12"/>
      <c r="B343" s="13"/>
      <c r="C343" s="14"/>
      <c r="D343" s="15"/>
      <c r="E343" s="15"/>
      <c r="F343" s="15"/>
      <c r="G343" s="15"/>
      <c r="H343" s="15"/>
      <c r="I343" s="15"/>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8"/>
      <c r="AL343" s="9"/>
      <c r="AM343" s="9"/>
      <c r="AN343" s="11"/>
      <c r="AO343" s="11"/>
      <c r="AP343" s="11"/>
      <c r="AQ343" s="11"/>
      <c r="AR343" s="11"/>
      <c r="AS343" s="11"/>
      <c r="AT343" s="11"/>
      <c r="AU343" s="11"/>
      <c r="AV343" s="11"/>
      <c r="AW343" s="11"/>
      <c r="AX343" s="11"/>
      <c r="AY343" s="11"/>
      <c r="AZ343" s="11"/>
    </row>
    <row r="344" ht="15.75" customHeight="1">
      <c r="A344" s="12"/>
      <c r="B344" s="13"/>
      <c r="C344" s="14"/>
      <c r="D344" s="15"/>
      <c r="E344" s="15"/>
      <c r="F344" s="15"/>
      <c r="G344" s="15"/>
      <c r="H344" s="15"/>
      <c r="I344" s="15"/>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8"/>
      <c r="AL344" s="9"/>
      <c r="AM344" s="9"/>
      <c r="AN344" s="11"/>
      <c r="AO344" s="11"/>
      <c r="AP344" s="11"/>
      <c r="AQ344" s="11"/>
      <c r="AR344" s="11"/>
      <c r="AS344" s="11"/>
      <c r="AT344" s="11"/>
      <c r="AU344" s="11"/>
      <c r="AV344" s="11"/>
      <c r="AW344" s="11"/>
      <c r="AX344" s="11"/>
      <c r="AY344" s="11"/>
      <c r="AZ344" s="11"/>
    </row>
    <row r="345" ht="15.75" customHeight="1">
      <c r="A345" s="12"/>
      <c r="B345" s="13"/>
      <c r="C345" s="14"/>
      <c r="D345" s="15"/>
      <c r="E345" s="15"/>
      <c r="F345" s="15"/>
      <c r="G345" s="15"/>
      <c r="H345" s="15"/>
      <c r="I345" s="15"/>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8"/>
      <c r="AL345" s="9"/>
      <c r="AM345" s="9"/>
      <c r="AN345" s="11"/>
      <c r="AO345" s="11"/>
      <c r="AP345" s="11"/>
      <c r="AQ345" s="11"/>
      <c r="AR345" s="11"/>
      <c r="AS345" s="11"/>
      <c r="AT345" s="11"/>
      <c r="AU345" s="11"/>
      <c r="AV345" s="11"/>
      <c r="AW345" s="11"/>
      <c r="AX345" s="11"/>
      <c r="AY345" s="11"/>
      <c r="AZ345" s="11"/>
    </row>
    <row r="346" ht="15.75" customHeight="1">
      <c r="A346" s="12"/>
      <c r="B346" s="13"/>
      <c r="C346" s="14"/>
      <c r="D346" s="15"/>
      <c r="E346" s="15"/>
      <c r="F346" s="15"/>
      <c r="G346" s="15"/>
      <c r="H346" s="15"/>
      <c r="I346" s="15"/>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8"/>
      <c r="AL346" s="9"/>
      <c r="AM346" s="9"/>
      <c r="AN346" s="11"/>
      <c r="AO346" s="11"/>
      <c r="AP346" s="11"/>
      <c r="AQ346" s="11"/>
      <c r="AR346" s="11"/>
      <c r="AS346" s="11"/>
      <c r="AT346" s="11"/>
      <c r="AU346" s="11"/>
      <c r="AV346" s="11"/>
      <c r="AW346" s="11"/>
      <c r="AX346" s="11"/>
      <c r="AY346" s="11"/>
      <c r="AZ346" s="11"/>
    </row>
    <row r="347" ht="15.75" customHeight="1">
      <c r="A347" s="12"/>
      <c r="B347" s="13"/>
      <c r="C347" s="14"/>
      <c r="D347" s="15"/>
      <c r="E347" s="15"/>
      <c r="F347" s="15"/>
      <c r="G347" s="15"/>
      <c r="H347" s="15"/>
      <c r="I347" s="15"/>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8"/>
      <c r="AL347" s="9"/>
      <c r="AM347" s="9"/>
      <c r="AN347" s="11"/>
      <c r="AO347" s="11"/>
      <c r="AP347" s="11"/>
      <c r="AQ347" s="11"/>
      <c r="AR347" s="11"/>
      <c r="AS347" s="11"/>
      <c r="AT347" s="11"/>
      <c r="AU347" s="11"/>
      <c r="AV347" s="11"/>
      <c r="AW347" s="11"/>
      <c r="AX347" s="11"/>
      <c r="AY347" s="11"/>
      <c r="AZ347" s="11"/>
    </row>
    <row r="348" ht="15.75" customHeight="1">
      <c r="A348" s="12"/>
      <c r="B348" s="13"/>
      <c r="C348" s="14"/>
      <c r="D348" s="15"/>
      <c r="E348" s="15"/>
      <c r="F348" s="15"/>
      <c r="G348" s="15"/>
      <c r="H348" s="15"/>
      <c r="I348" s="15"/>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8"/>
      <c r="AL348" s="9"/>
      <c r="AM348" s="9"/>
      <c r="AN348" s="11"/>
      <c r="AO348" s="11"/>
      <c r="AP348" s="11"/>
      <c r="AQ348" s="11"/>
      <c r="AR348" s="11"/>
      <c r="AS348" s="11"/>
      <c r="AT348" s="11"/>
      <c r="AU348" s="11"/>
      <c r="AV348" s="11"/>
      <c r="AW348" s="11"/>
      <c r="AX348" s="11"/>
      <c r="AY348" s="11"/>
      <c r="AZ348" s="11"/>
    </row>
    <row r="349" ht="15.75" customHeight="1">
      <c r="A349" s="12"/>
      <c r="B349" s="13"/>
      <c r="C349" s="14"/>
      <c r="D349" s="15"/>
      <c r="E349" s="15"/>
      <c r="F349" s="15"/>
      <c r="G349" s="15"/>
      <c r="H349" s="15"/>
      <c r="I349" s="15"/>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8"/>
      <c r="AL349" s="9"/>
      <c r="AM349" s="9"/>
      <c r="AN349" s="11"/>
      <c r="AO349" s="11"/>
      <c r="AP349" s="11"/>
      <c r="AQ349" s="11"/>
      <c r="AR349" s="11"/>
      <c r="AS349" s="11"/>
      <c r="AT349" s="11"/>
      <c r="AU349" s="11"/>
      <c r="AV349" s="11"/>
      <c r="AW349" s="11"/>
      <c r="AX349" s="11"/>
      <c r="AY349" s="11"/>
      <c r="AZ349" s="11"/>
    </row>
    <row r="350" ht="15.75" customHeight="1">
      <c r="A350" s="12"/>
      <c r="B350" s="13"/>
      <c r="C350" s="14"/>
      <c r="D350" s="15"/>
      <c r="E350" s="15"/>
      <c r="F350" s="15"/>
      <c r="G350" s="15"/>
      <c r="H350" s="15"/>
      <c r="I350" s="15"/>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8"/>
      <c r="AL350" s="9"/>
      <c r="AM350" s="9"/>
      <c r="AN350" s="11"/>
      <c r="AO350" s="11"/>
      <c r="AP350" s="11"/>
      <c r="AQ350" s="11"/>
      <c r="AR350" s="11"/>
      <c r="AS350" s="11"/>
      <c r="AT350" s="11"/>
      <c r="AU350" s="11"/>
      <c r="AV350" s="11"/>
      <c r="AW350" s="11"/>
      <c r="AX350" s="11"/>
      <c r="AY350" s="11"/>
      <c r="AZ350" s="11"/>
    </row>
    <row r="351" ht="15.75" customHeight="1">
      <c r="A351" s="12"/>
      <c r="B351" s="13"/>
      <c r="C351" s="14"/>
      <c r="D351" s="15"/>
      <c r="E351" s="15"/>
      <c r="F351" s="15"/>
      <c r="G351" s="15"/>
      <c r="H351" s="15"/>
      <c r="I351" s="15"/>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8"/>
      <c r="AL351" s="9"/>
      <c r="AM351" s="9"/>
      <c r="AN351" s="11"/>
      <c r="AO351" s="11"/>
      <c r="AP351" s="11"/>
      <c r="AQ351" s="11"/>
      <c r="AR351" s="11"/>
      <c r="AS351" s="11"/>
      <c r="AT351" s="11"/>
      <c r="AU351" s="11"/>
      <c r="AV351" s="11"/>
      <c r="AW351" s="11"/>
      <c r="AX351" s="11"/>
      <c r="AY351" s="11"/>
      <c r="AZ351" s="11"/>
    </row>
    <row r="352" ht="15.75" customHeight="1">
      <c r="A352" s="12"/>
      <c r="B352" s="13"/>
      <c r="C352" s="14"/>
      <c r="D352" s="15"/>
      <c r="E352" s="15"/>
      <c r="F352" s="15"/>
      <c r="G352" s="15"/>
      <c r="H352" s="15"/>
      <c r="I352" s="15"/>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8"/>
      <c r="AL352" s="9"/>
      <c r="AM352" s="9"/>
      <c r="AN352" s="11"/>
      <c r="AO352" s="11"/>
      <c r="AP352" s="11"/>
      <c r="AQ352" s="11"/>
      <c r="AR352" s="11"/>
      <c r="AS352" s="11"/>
      <c r="AT352" s="11"/>
      <c r="AU352" s="11"/>
      <c r="AV352" s="11"/>
      <c r="AW352" s="11"/>
      <c r="AX352" s="11"/>
      <c r="AY352" s="11"/>
      <c r="AZ352" s="11"/>
    </row>
    <row r="353" ht="15.75" customHeight="1">
      <c r="A353" s="12"/>
      <c r="B353" s="13"/>
      <c r="C353" s="14"/>
      <c r="D353" s="15"/>
      <c r="E353" s="15"/>
      <c r="F353" s="15"/>
      <c r="G353" s="15"/>
      <c r="H353" s="15"/>
      <c r="I353" s="15"/>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8"/>
      <c r="AL353" s="9"/>
      <c r="AM353" s="9"/>
      <c r="AN353" s="11"/>
      <c r="AO353" s="11"/>
      <c r="AP353" s="11"/>
      <c r="AQ353" s="11"/>
      <c r="AR353" s="11"/>
      <c r="AS353" s="11"/>
      <c r="AT353" s="11"/>
      <c r="AU353" s="11"/>
      <c r="AV353" s="11"/>
      <c r="AW353" s="11"/>
      <c r="AX353" s="11"/>
      <c r="AY353" s="11"/>
      <c r="AZ353" s="11"/>
    </row>
    <row r="354" ht="15.75" customHeight="1">
      <c r="A354" s="12"/>
      <c r="B354" s="13"/>
      <c r="C354" s="14"/>
      <c r="D354" s="15"/>
      <c r="E354" s="15"/>
      <c r="F354" s="15"/>
      <c r="G354" s="15"/>
      <c r="H354" s="15"/>
      <c r="I354" s="15"/>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8"/>
      <c r="AL354" s="9"/>
      <c r="AM354" s="9"/>
      <c r="AN354" s="11"/>
      <c r="AO354" s="11"/>
      <c r="AP354" s="11"/>
      <c r="AQ354" s="11"/>
      <c r="AR354" s="11"/>
      <c r="AS354" s="11"/>
      <c r="AT354" s="11"/>
      <c r="AU354" s="11"/>
      <c r="AV354" s="11"/>
      <c r="AW354" s="11"/>
      <c r="AX354" s="11"/>
      <c r="AY354" s="11"/>
      <c r="AZ354" s="11"/>
    </row>
    <row r="355" ht="15.75" customHeight="1">
      <c r="A355" s="12"/>
      <c r="B355" s="13"/>
      <c r="C355" s="14"/>
      <c r="D355" s="15"/>
      <c r="E355" s="15"/>
      <c r="F355" s="15"/>
      <c r="G355" s="15"/>
      <c r="H355" s="15"/>
      <c r="I355" s="15"/>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8"/>
      <c r="AL355" s="9"/>
      <c r="AM355" s="9"/>
      <c r="AN355" s="11"/>
      <c r="AO355" s="11"/>
      <c r="AP355" s="11"/>
      <c r="AQ355" s="11"/>
      <c r="AR355" s="11"/>
      <c r="AS355" s="11"/>
      <c r="AT355" s="11"/>
      <c r="AU355" s="11"/>
      <c r="AV355" s="11"/>
      <c r="AW355" s="11"/>
      <c r="AX355" s="11"/>
      <c r="AY355" s="11"/>
      <c r="AZ355" s="11"/>
    </row>
    <row r="356" ht="15.75" customHeight="1">
      <c r="A356" s="12"/>
      <c r="B356" s="13"/>
      <c r="C356" s="14"/>
      <c r="D356" s="15"/>
      <c r="E356" s="15"/>
      <c r="F356" s="15"/>
      <c r="G356" s="15"/>
      <c r="H356" s="15"/>
      <c r="I356" s="15"/>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8"/>
      <c r="AL356" s="9"/>
      <c r="AM356" s="9"/>
      <c r="AN356" s="11"/>
      <c r="AO356" s="11"/>
      <c r="AP356" s="11"/>
      <c r="AQ356" s="11"/>
      <c r="AR356" s="11"/>
      <c r="AS356" s="11"/>
      <c r="AT356" s="11"/>
      <c r="AU356" s="11"/>
      <c r="AV356" s="11"/>
      <c r="AW356" s="11"/>
      <c r="AX356" s="11"/>
      <c r="AY356" s="11"/>
      <c r="AZ356" s="11"/>
    </row>
    <row r="357" ht="15.75" customHeight="1">
      <c r="A357" s="12"/>
      <c r="B357" s="13"/>
      <c r="C357" s="14"/>
      <c r="D357" s="15"/>
      <c r="E357" s="15"/>
      <c r="F357" s="15"/>
      <c r="G357" s="15"/>
      <c r="H357" s="15"/>
      <c r="I357" s="15"/>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8"/>
      <c r="AL357" s="9"/>
      <c r="AM357" s="9"/>
      <c r="AN357" s="11"/>
      <c r="AO357" s="11"/>
      <c r="AP357" s="11"/>
      <c r="AQ357" s="11"/>
      <c r="AR357" s="11"/>
      <c r="AS357" s="11"/>
      <c r="AT357" s="11"/>
      <c r="AU357" s="11"/>
      <c r="AV357" s="11"/>
      <c r="AW357" s="11"/>
      <c r="AX357" s="11"/>
      <c r="AY357" s="11"/>
      <c r="AZ357" s="11"/>
    </row>
    <row r="358" ht="15.75" customHeight="1">
      <c r="A358" s="12"/>
      <c r="B358" s="13"/>
      <c r="C358" s="14"/>
      <c r="D358" s="15"/>
      <c r="E358" s="15"/>
      <c r="F358" s="15"/>
      <c r="G358" s="15"/>
      <c r="H358" s="15"/>
      <c r="I358" s="15"/>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8"/>
      <c r="AL358" s="9"/>
      <c r="AM358" s="9"/>
      <c r="AN358" s="11"/>
      <c r="AO358" s="11"/>
      <c r="AP358" s="11"/>
      <c r="AQ358" s="11"/>
      <c r="AR358" s="11"/>
      <c r="AS358" s="11"/>
      <c r="AT358" s="11"/>
      <c r="AU358" s="11"/>
      <c r="AV358" s="11"/>
      <c r="AW358" s="11"/>
      <c r="AX358" s="11"/>
      <c r="AY358" s="11"/>
      <c r="AZ358" s="11"/>
    </row>
    <row r="359" ht="15.75" customHeight="1">
      <c r="A359" s="12"/>
      <c r="B359" s="13"/>
      <c r="C359" s="14"/>
      <c r="D359" s="15"/>
      <c r="E359" s="15"/>
      <c r="F359" s="15"/>
      <c r="G359" s="15"/>
      <c r="H359" s="15"/>
      <c r="I359" s="15"/>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8"/>
      <c r="AL359" s="9"/>
      <c r="AM359" s="9"/>
      <c r="AN359" s="11"/>
      <c r="AO359" s="11"/>
      <c r="AP359" s="11"/>
      <c r="AQ359" s="11"/>
      <c r="AR359" s="11"/>
      <c r="AS359" s="11"/>
      <c r="AT359" s="11"/>
      <c r="AU359" s="11"/>
      <c r="AV359" s="11"/>
      <c r="AW359" s="11"/>
      <c r="AX359" s="11"/>
      <c r="AY359" s="11"/>
      <c r="AZ359" s="11"/>
    </row>
    <row r="360" ht="15.75" customHeight="1">
      <c r="A360" s="12"/>
      <c r="B360" s="13"/>
      <c r="C360" s="14"/>
      <c r="D360" s="15"/>
      <c r="E360" s="15"/>
      <c r="F360" s="15"/>
      <c r="G360" s="15"/>
      <c r="H360" s="15"/>
      <c r="I360" s="15"/>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8"/>
      <c r="AL360" s="9"/>
      <c r="AM360" s="9"/>
      <c r="AN360" s="11"/>
      <c r="AO360" s="11"/>
      <c r="AP360" s="11"/>
      <c r="AQ360" s="11"/>
      <c r="AR360" s="11"/>
      <c r="AS360" s="11"/>
      <c r="AT360" s="11"/>
      <c r="AU360" s="11"/>
      <c r="AV360" s="11"/>
      <c r="AW360" s="11"/>
      <c r="AX360" s="11"/>
      <c r="AY360" s="11"/>
      <c r="AZ360" s="11"/>
    </row>
    <row r="361" ht="15.75" customHeight="1">
      <c r="A361" s="12"/>
      <c r="B361" s="13"/>
      <c r="C361" s="14"/>
      <c r="D361" s="15"/>
      <c r="E361" s="15"/>
      <c r="F361" s="15"/>
      <c r="G361" s="15"/>
      <c r="H361" s="15"/>
      <c r="I361" s="15"/>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8"/>
      <c r="AL361" s="9"/>
      <c r="AM361" s="9"/>
      <c r="AN361" s="11"/>
      <c r="AO361" s="11"/>
      <c r="AP361" s="11"/>
      <c r="AQ361" s="11"/>
      <c r="AR361" s="11"/>
      <c r="AS361" s="11"/>
      <c r="AT361" s="11"/>
      <c r="AU361" s="11"/>
      <c r="AV361" s="11"/>
      <c r="AW361" s="11"/>
      <c r="AX361" s="11"/>
      <c r="AY361" s="11"/>
      <c r="AZ361" s="11"/>
    </row>
    <row r="362" ht="15.75" customHeight="1">
      <c r="A362" s="12"/>
      <c r="B362" s="13"/>
      <c r="C362" s="14"/>
      <c r="D362" s="15"/>
      <c r="E362" s="15"/>
      <c r="F362" s="15"/>
      <c r="G362" s="15"/>
      <c r="H362" s="15"/>
      <c r="I362" s="15"/>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8"/>
      <c r="AL362" s="9"/>
      <c r="AM362" s="9"/>
      <c r="AN362" s="11"/>
      <c r="AO362" s="11"/>
      <c r="AP362" s="11"/>
      <c r="AQ362" s="11"/>
      <c r="AR362" s="11"/>
      <c r="AS362" s="11"/>
      <c r="AT362" s="11"/>
      <c r="AU362" s="11"/>
      <c r="AV362" s="11"/>
      <c r="AW362" s="11"/>
      <c r="AX362" s="11"/>
      <c r="AY362" s="11"/>
      <c r="AZ362" s="11"/>
    </row>
    <row r="363" ht="15.75" customHeight="1">
      <c r="A363" s="12"/>
      <c r="B363" s="13"/>
      <c r="C363" s="14"/>
      <c r="D363" s="15"/>
      <c r="E363" s="15"/>
      <c r="F363" s="15"/>
      <c r="G363" s="15"/>
      <c r="H363" s="15"/>
      <c r="I363" s="15"/>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8"/>
      <c r="AL363" s="9"/>
      <c r="AM363" s="9"/>
      <c r="AN363" s="11"/>
      <c r="AO363" s="11"/>
      <c r="AP363" s="11"/>
      <c r="AQ363" s="11"/>
      <c r="AR363" s="11"/>
      <c r="AS363" s="11"/>
      <c r="AT363" s="11"/>
      <c r="AU363" s="11"/>
      <c r="AV363" s="11"/>
      <c r="AW363" s="11"/>
      <c r="AX363" s="11"/>
      <c r="AY363" s="11"/>
      <c r="AZ363" s="11"/>
    </row>
    <row r="364" ht="15.75" customHeight="1">
      <c r="A364" s="12"/>
      <c r="B364" s="13"/>
      <c r="C364" s="14"/>
      <c r="D364" s="15"/>
      <c r="E364" s="15"/>
      <c r="F364" s="15"/>
      <c r="G364" s="15"/>
      <c r="H364" s="15"/>
      <c r="I364" s="15"/>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8"/>
      <c r="AL364" s="9"/>
      <c r="AM364" s="9"/>
      <c r="AN364" s="11"/>
      <c r="AO364" s="11"/>
      <c r="AP364" s="11"/>
      <c r="AQ364" s="11"/>
      <c r="AR364" s="11"/>
      <c r="AS364" s="11"/>
      <c r="AT364" s="11"/>
      <c r="AU364" s="11"/>
      <c r="AV364" s="11"/>
      <c r="AW364" s="11"/>
      <c r="AX364" s="11"/>
      <c r="AY364" s="11"/>
      <c r="AZ364" s="11"/>
    </row>
    <row r="365" ht="15.75" customHeight="1">
      <c r="A365" s="12"/>
      <c r="B365" s="13"/>
      <c r="C365" s="14"/>
      <c r="D365" s="15"/>
      <c r="E365" s="15"/>
      <c r="F365" s="15"/>
      <c r="G365" s="15"/>
      <c r="H365" s="15"/>
      <c r="I365" s="15"/>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8"/>
      <c r="AL365" s="9"/>
      <c r="AM365" s="9"/>
      <c r="AN365" s="11"/>
      <c r="AO365" s="11"/>
      <c r="AP365" s="11"/>
      <c r="AQ365" s="11"/>
      <c r="AR365" s="11"/>
      <c r="AS365" s="11"/>
      <c r="AT365" s="11"/>
      <c r="AU365" s="11"/>
      <c r="AV365" s="11"/>
      <c r="AW365" s="11"/>
      <c r="AX365" s="11"/>
      <c r="AY365" s="11"/>
      <c r="AZ365" s="11"/>
    </row>
    <row r="366" ht="15.75" customHeight="1">
      <c r="A366" s="12"/>
      <c r="B366" s="13"/>
      <c r="C366" s="14"/>
      <c r="D366" s="15"/>
      <c r="E366" s="15"/>
      <c r="F366" s="15"/>
      <c r="G366" s="15"/>
      <c r="H366" s="15"/>
      <c r="I366" s="15"/>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8"/>
      <c r="AL366" s="9"/>
      <c r="AM366" s="9"/>
      <c r="AN366" s="11"/>
      <c r="AO366" s="11"/>
      <c r="AP366" s="11"/>
      <c r="AQ366" s="11"/>
      <c r="AR366" s="11"/>
      <c r="AS366" s="11"/>
      <c r="AT366" s="11"/>
      <c r="AU366" s="11"/>
      <c r="AV366" s="11"/>
      <c r="AW366" s="11"/>
      <c r="AX366" s="11"/>
      <c r="AY366" s="11"/>
      <c r="AZ366" s="11"/>
    </row>
    <row r="367" ht="15.75" customHeight="1">
      <c r="A367" s="12"/>
      <c r="B367" s="13"/>
      <c r="C367" s="14"/>
      <c r="D367" s="15"/>
      <c r="E367" s="15"/>
      <c r="F367" s="15"/>
      <c r="G367" s="15"/>
      <c r="H367" s="15"/>
      <c r="I367" s="15"/>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8"/>
      <c r="AL367" s="9"/>
      <c r="AM367" s="9"/>
      <c r="AN367" s="11"/>
      <c r="AO367" s="11"/>
      <c r="AP367" s="11"/>
      <c r="AQ367" s="11"/>
      <c r="AR367" s="11"/>
      <c r="AS367" s="11"/>
      <c r="AT367" s="11"/>
      <c r="AU367" s="11"/>
      <c r="AV367" s="11"/>
      <c r="AW367" s="11"/>
      <c r="AX367" s="11"/>
      <c r="AY367" s="11"/>
      <c r="AZ367" s="11"/>
    </row>
    <row r="368" ht="15.75" customHeight="1">
      <c r="A368" s="12"/>
      <c r="B368" s="13"/>
      <c r="C368" s="14"/>
      <c r="D368" s="15"/>
      <c r="E368" s="15"/>
      <c r="F368" s="15"/>
      <c r="G368" s="15"/>
      <c r="H368" s="15"/>
      <c r="I368" s="15"/>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8"/>
      <c r="AL368" s="9"/>
      <c r="AM368" s="9"/>
      <c r="AN368" s="11"/>
      <c r="AO368" s="11"/>
      <c r="AP368" s="11"/>
      <c r="AQ368" s="11"/>
      <c r="AR368" s="11"/>
      <c r="AS368" s="11"/>
      <c r="AT368" s="11"/>
      <c r="AU368" s="11"/>
      <c r="AV368" s="11"/>
      <c r="AW368" s="11"/>
      <c r="AX368" s="11"/>
      <c r="AY368" s="11"/>
      <c r="AZ368" s="11"/>
    </row>
    <row r="369" ht="15.75" customHeight="1">
      <c r="A369" s="12"/>
      <c r="B369" s="13"/>
      <c r="C369" s="14"/>
      <c r="D369" s="15"/>
      <c r="E369" s="15"/>
      <c r="F369" s="15"/>
      <c r="G369" s="15"/>
      <c r="H369" s="15"/>
      <c r="I369" s="15"/>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8"/>
      <c r="AL369" s="9"/>
      <c r="AM369" s="9"/>
      <c r="AN369" s="11"/>
      <c r="AO369" s="11"/>
      <c r="AP369" s="11"/>
      <c r="AQ369" s="11"/>
      <c r="AR369" s="11"/>
      <c r="AS369" s="11"/>
      <c r="AT369" s="11"/>
      <c r="AU369" s="11"/>
      <c r="AV369" s="11"/>
      <c r="AW369" s="11"/>
      <c r="AX369" s="11"/>
      <c r="AY369" s="11"/>
      <c r="AZ369" s="11"/>
    </row>
    <row r="370" ht="15.75" customHeight="1">
      <c r="A370" s="12"/>
      <c r="B370" s="13"/>
      <c r="C370" s="14"/>
      <c r="D370" s="15"/>
      <c r="E370" s="15"/>
      <c r="F370" s="15"/>
      <c r="G370" s="15"/>
      <c r="H370" s="15"/>
      <c r="I370" s="15"/>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8"/>
      <c r="AL370" s="9"/>
      <c r="AM370" s="9"/>
      <c r="AN370" s="11"/>
      <c r="AO370" s="11"/>
      <c r="AP370" s="11"/>
      <c r="AQ370" s="11"/>
      <c r="AR370" s="11"/>
      <c r="AS370" s="11"/>
      <c r="AT370" s="11"/>
      <c r="AU370" s="11"/>
      <c r="AV370" s="11"/>
      <c r="AW370" s="11"/>
      <c r="AX370" s="11"/>
      <c r="AY370" s="11"/>
      <c r="AZ370" s="11"/>
    </row>
    <row r="371" ht="15.75" customHeight="1">
      <c r="A371" s="12"/>
      <c r="B371" s="13"/>
      <c r="C371" s="14"/>
      <c r="D371" s="15"/>
      <c r="E371" s="15"/>
      <c r="F371" s="15"/>
      <c r="G371" s="15"/>
      <c r="H371" s="15"/>
      <c r="I371" s="15"/>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8"/>
      <c r="AL371" s="9"/>
      <c r="AM371" s="9"/>
      <c r="AN371" s="11"/>
      <c r="AO371" s="11"/>
      <c r="AP371" s="11"/>
      <c r="AQ371" s="11"/>
      <c r="AR371" s="11"/>
      <c r="AS371" s="11"/>
      <c r="AT371" s="11"/>
      <c r="AU371" s="11"/>
      <c r="AV371" s="11"/>
      <c r="AW371" s="11"/>
      <c r="AX371" s="11"/>
      <c r="AY371" s="11"/>
      <c r="AZ371" s="11"/>
    </row>
    <row r="372" ht="15.75" customHeight="1">
      <c r="A372" s="12"/>
      <c r="B372" s="13"/>
      <c r="C372" s="14"/>
      <c r="D372" s="15"/>
      <c r="E372" s="15"/>
      <c r="F372" s="15"/>
      <c r="G372" s="15"/>
      <c r="H372" s="15"/>
      <c r="I372" s="15"/>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8"/>
      <c r="AL372" s="9"/>
      <c r="AM372" s="9"/>
      <c r="AN372" s="11"/>
      <c r="AO372" s="11"/>
      <c r="AP372" s="11"/>
      <c r="AQ372" s="11"/>
      <c r="AR372" s="11"/>
      <c r="AS372" s="11"/>
      <c r="AT372" s="11"/>
      <c r="AU372" s="11"/>
      <c r="AV372" s="11"/>
      <c r="AW372" s="11"/>
      <c r="AX372" s="11"/>
      <c r="AY372" s="11"/>
      <c r="AZ372" s="11"/>
    </row>
    <row r="373" ht="15.75" customHeight="1">
      <c r="A373" s="12"/>
      <c r="B373" s="13"/>
      <c r="C373" s="14"/>
      <c r="D373" s="15"/>
      <c r="E373" s="15"/>
      <c r="F373" s="15"/>
      <c r="G373" s="15"/>
      <c r="H373" s="15"/>
      <c r="I373" s="15"/>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8"/>
      <c r="AL373" s="9"/>
      <c r="AM373" s="9"/>
      <c r="AN373" s="11"/>
      <c r="AO373" s="11"/>
      <c r="AP373" s="11"/>
      <c r="AQ373" s="11"/>
      <c r="AR373" s="11"/>
      <c r="AS373" s="11"/>
      <c r="AT373" s="11"/>
      <c r="AU373" s="11"/>
      <c r="AV373" s="11"/>
      <c r="AW373" s="11"/>
      <c r="AX373" s="11"/>
      <c r="AY373" s="11"/>
      <c r="AZ373" s="11"/>
    </row>
    <row r="374" ht="15.75" customHeight="1">
      <c r="A374" s="12"/>
      <c r="B374" s="13"/>
      <c r="C374" s="14"/>
      <c r="D374" s="15"/>
      <c r="E374" s="15"/>
      <c r="F374" s="15"/>
      <c r="G374" s="15"/>
      <c r="H374" s="15"/>
      <c r="I374" s="15"/>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8"/>
      <c r="AL374" s="9"/>
      <c r="AM374" s="9"/>
      <c r="AN374" s="11"/>
      <c r="AO374" s="11"/>
      <c r="AP374" s="11"/>
      <c r="AQ374" s="11"/>
      <c r="AR374" s="11"/>
      <c r="AS374" s="11"/>
      <c r="AT374" s="11"/>
      <c r="AU374" s="11"/>
      <c r="AV374" s="11"/>
      <c r="AW374" s="11"/>
      <c r="AX374" s="11"/>
      <c r="AY374" s="11"/>
      <c r="AZ374" s="11"/>
    </row>
    <row r="375" ht="15.75" customHeight="1">
      <c r="A375" s="12"/>
      <c r="B375" s="13"/>
      <c r="C375" s="14"/>
      <c r="D375" s="15"/>
      <c r="E375" s="15"/>
      <c r="F375" s="15"/>
      <c r="G375" s="15"/>
      <c r="H375" s="15"/>
      <c r="I375" s="15"/>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8"/>
      <c r="AL375" s="9"/>
      <c r="AM375" s="9"/>
      <c r="AN375" s="11"/>
      <c r="AO375" s="11"/>
      <c r="AP375" s="11"/>
      <c r="AQ375" s="11"/>
      <c r="AR375" s="11"/>
      <c r="AS375" s="11"/>
      <c r="AT375" s="11"/>
      <c r="AU375" s="11"/>
      <c r="AV375" s="11"/>
      <c r="AW375" s="11"/>
      <c r="AX375" s="11"/>
      <c r="AY375" s="11"/>
      <c r="AZ375" s="11"/>
    </row>
    <row r="376" ht="15.75" customHeight="1">
      <c r="A376" s="12"/>
      <c r="B376" s="13"/>
      <c r="C376" s="14"/>
      <c r="D376" s="15"/>
      <c r="E376" s="15"/>
      <c r="F376" s="15"/>
      <c r="G376" s="15"/>
      <c r="H376" s="15"/>
      <c r="I376" s="15"/>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8"/>
      <c r="AL376" s="9"/>
      <c r="AM376" s="9"/>
      <c r="AN376" s="11"/>
      <c r="AO376" s="11"/>
      <c r="AP376" s="11"/>
      <c r="AQ376" s="11"/>
      <c r="AR376" s="11"/>
      <c r="AS376" s="11"/>
      <c r="AT376" s="11"/>
      <c r="AU376" s="11"/>
      <c r="AV376" s="11"/>
      <c r="AW376" s="11"/>
      <c r="AX376" s="11"/>
      <c r="AY376" s="11"/>
      <c r="AZ376" s="11"/>
    </row>
    <row r="377" ht="15.75" customHeight="1">
      <c r="A377" s="12"/>
      <c r="B377" s="13"/>
      <c r="C377" s="14"/>
      <c r="D377" s="15"/>
      <c r="E377" s="15"/>
      <c r="F377" s="15"/>
      <c r="G377" s="15"/>
      <c r="H377" s="15"/>
      <c r="I377" s="15"/>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8"/>
      <c r="AL377" s="9"/>
      <c r="AM377" s="9"/>
      <c r="AN377" s="11"/>
      <c r="AO377" s="11"/>
      <c r="AP377" s="11"/>
      <c r="AQ377" s="11"/>
      <c r="AR377" s="11"/>
      <c r="AS377" s="11"/>
      <c r="AT377" s="11"/>
      <c r="AU377" s="11"/>
      <c r="AV377" s="11"/>
      <c r="AW377" s="11"/>
      <c r="AX377" s="11"/>
      <c r="AY377" s="11"/>
      <c r="AZ377" s="11"/>
    </row>
    <row r="378" ht="15.75" customHeight="1">
      <c r="A378" s="12"/>
      <c r="B378" s="13"/>
      <c r="C378" s="14"/>
      <c r="D378" s="15"/>
      <c r="E378" s="15"/>
      <c r="F378" s="15"/>
      <c r="G378" s="15"/>
      <c r="H378" s="15"/>
      <c r="I378" s="15"/>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8"/>
      <c r="AL378" s="9"/>
      <c r="AM378" s="9"/>
      <c r="AN378" s="11"/>
      <c r="AO378" s="11"/>
      <c r="AP378" s="11"/>
      <c r="AQ378" s="11"/>
      <c r="AR378" s="11"/>
      <c r="AS378" s="11"/>
      <c r="AT378" s="11"/>
      <c r="AU378" s="11"/>
      <c r="AV378" s="11"/>
      <c r="AW378" s="11"/>
      <c r="AX378" s="11"/>
      <c r="AY378" s="11"/>
      <c r="AZ378" s="11"/>
    </row>
    <row r="379" ht="15.75" customHeight="1">
      <c r="A379" s="12"/>
      <c r="B379" s="13"/>
      <c r="C379" s="14"/>
      <c r="D379" s="15"/>
      <c r="E379" s="15"/>
      <c r="F379" s="15"/>
      <c r="G379" s="15"/>
      <c r="H379" s="15"/>
      <c r="I379" s="15"/>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8"/>
      <c r="AL379" s="9"/>
      <c r="AM379" s="9"/>
      <c r="AN379" s="11"/>
      <c r="AO379" s="11"/>
      <c r="AP379" s="11"/>
      <c r="AQ379" s="11"/>
      <c r="AR379" s="11"/>
      <c r="AS379" s="11"/>
      <c r="AT379" s="11"/>
      <c r="AU379" s="11"/>
      <c r="AV379" s="11"/>
      <c r="AW379" s="11"/>
      <c r="AX379" s="11"/>
      <c r="AY379" s="11"/>
      <c r="AZ379" s="11"/>
    </row>
    <row r="380" ht="15.75" customHeight="1">
      <c r="A380" s="12"/>
      <c r="B380" s="13"/>
      <c r="C380" s="14"/>
      <c r="D380" s="15"/>
      <c r="E380" s="15"/>
      <c r="F380" s="15"/>
      <c r="G380" s="15"/>
      <c r="H380" s="15"/>
      <c r="I380" s="15"/>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8"/>
      <c r="AL380" s="9"/>
      <c r="AM380" s="9"/>
      <c r="AN380" s="11"/>
      <c r="AO380" s="11"/>
      <c r="AP380" s="11"/>
      <c r="AQ380" s="11"/>
      <c r="AR380" s="11"/>
      <c r="AS380" s="11"/>
      <c r="AT380" s="11"/>
      <c r="AU380" s="11"/>
      <c r="AV380" s="11"/>
      <c r="AW380" s="11"/>
      <c r="AX380" s="11"/>
      <c r="AY380" s="11"/>
      <c r="AZ380" s="11"/>
    </row>
    <row r="381" ht="15.75" customHeight="1">
      <c r="A381" s="12"/>
      <c r="B381" s="13"/>
      <c r="C381" s="14"/>
      <c r="D381" s="15"/>
      <c r="E381" s="15"/>
      <c r="F381" s="15"/>
      <c r="G381" s="15"/>
      <c r="H381" s="15"/>
      <c r="I381" s="15"/>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8"/>
      <c r="AL381" s="9"/>
      <c r="AM381" s="9"/>
      <c r="AN381" s="11"/>
      <c r="AO381" s="11"/>
      <c r="AP381" s="11"/>
      <c r="AQ381" s="11"/>
      <c r="AR381" s="11"/>
      <c r="AS381" s="11"/>
      <c r="AT381" s="11"/>
      <c r="AU381" s="11"/>
      <c r="AV381" s="11"/>
      <c r="AW381" s="11"/>
      <c r="AX381" s="11"/>
      <c r="AY381" s="11"/>
      <c r="AZ381" s="11"/>
    </row>
    <row r="382" ht="15.75" customHeight="1">
      <c r="A382" s="12"/>
      <c r="B382" s="13"/>
      <c r="C382" s="14"/>
      <c r="D382" s="15"/>
      <c r="E382" s="15"/>
      <c r="F382" s="15"/>
      <c r="G382" s="15"/>
      <c r="H382" s="15"/>
      <c r="I382" s="15"/>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8"/>
      <c r="AL382" s="9"/>
      <c r="AM382" s="9"/>
      <c r="AN382" s="11"/>
      <c r="AO382" s="11"/>
      <c r="AP382" s="11"/>
      <c r="AQ382" s="11"/>
      <c r="AR382" s="11"/>
      <c r="AS382" s="11"/>
      <c r="AT382" s="11"/>
      <c r="AU382" s="11"/>
      <c r="AV382" s="11"/>
      <c r="AW382" s="11"/>
      <c r="AX382" s="11"/>
      <c r="AY382" s="11"/>
      <c r="AZ382" s="11"/>
    </row>
    <row r="383" ht="15.75" customHeight="1">
      <c r="A383" s="12"/>
      <c r="B383" s="13"/>
      <c r="C383" s="14"/>
      <c r="D383" s="15"/>
      <c r="E383" s="15"/>
      <c r="F383" s="15"/>
      <c r="G383" s="15"/>
      <c r="H383" s="15"/>
      <c r="I383" s="15"/>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8"/>
      <c r="AL383" s="9"/>
      <c r="AM383" s="9"/>
      <c r="AN383" s="11"/>
      <c r="AO383" s="11"/>
      <c r="AP383" s="11"/>
      <c r="AQ383" s="11"/>
      <c r="AR383" s="11"/>
      <c r="AS383" s="11"/>
      <c r="AT383" s="11"/>
      <c r="AU383" s="11"/>
      <c r="AV383" s="11"/>
      <c r="AW383" s="11"/>
      <c r="AX383" s="11"/>
      <c r="AY383" s="11"/>
      <c r="AZ383" s="11"/>
    </row>
    <row r="384" ht="15.75" customHeight="1">
      <c r="A384" s="12"/>
      <c r="B384" s="13"/>
      <c r="C384" s="14"/>
      <c r="D384" s="15"/>
      <c r="E384" s="15"/>
      <c r="F384" s="15"/>
      <c r="G384" s="15"/>
      <c r="H384" s="15"/>
      <c r="I384" s="15"/>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8"/>
      <c r="AL384" s="9"/>
      <c r="AM384" s="9"/>
      <c r="AN384" s="11"/>
      <c r="AO384" s="11"/>
      <c r="AP384" s="11"/>
      <c r="AQ384" s="11"/>
      <c r="AR384" s="11"/>
      <c r="AS384" s="11"/>
      <c r="AT384" s="11"/>
      <c r="AU384" s="11"/>
      <c r="AV384" s="11"/>
      <c r="AW384" s="11"/>
      <c r="AX384" s="11"/>
      <c r="AY384" s="11"/>
      <c r="AZ384" s="11"/>
    </row>
    <row r="385" ht="15.75" customHeight="1">
      <c r="A385" s="12"/>
      <c r="B385" s="13"/>
      <c r="C385" s="14"/>
      <c r="D385" s="15"/>
      <c r="E385" s="15"/>
      <c r="F385" s="15"/>
      <c r="G385" s="15"/>
      <c r="H385" s="15"/>
      <c r="I385" s="15"/>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8"/>
      <c r="AL385" s="9"/>
      <c r="AM385" s="9"/>
      <c r="AN385" s="11"/>
      <c r="AO385" s="11"/>
      <c r="AP385" s="11"/>
      <c r="AQ385" s="11"/>
      <c r="AR385" s="11"/>
      <c r="AS385" s="11"/>
      <c r="AT385" s="11"/>
      <c r="AU385" s="11"/>
      <c r="AV385" s="11"/>
      <c r="AW385" s="11"/>
      <c r="AX385" s="11"/>
      <c r="AY385" s="11"/>
      <c r="AZ385" s="11"/>
    </row>
    <row r="386" ht="15.75" customHeight="1">
      <c r="A386" s="12"/>
      <c r="B386" s="13"/>
      <c r="C386" s="14"/>
      <c r="D386" s="15"/>
      <c r="E386" s="15"/>
      <c r="F386" s="15"/>
      <c r="G386" s="15"/>
      <c r="H386" s="15"/>
      <c r="I386" s="15"/>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8"/>
      <c r="AL386" s="9"/>
      <c r="AM386" s="9"/>
      <c r="AN386" s="11"/>
      <c r="AO386" s="11"/>
      <c r="AP386" s="11"/>
      <c r="AQ386" s="11"/>
      <c r="AR386" s="11"/>
      <c r="AS386" s="11"/>
      <c r="AT386" s="11"/>
      <c r="AU386" s="11"/>
      <c r="AV386" s="11"/>
      <c r="AW386" s="11"/>
      <c r="AX386" s="11"/>
      <c r="AY386" s="11"/>
      <c r="AZ386" s="11"/>
    </row>
    <row r="387" ht="15.75" customHeight="1">
      <c r="A387" s="12"/>
      <c r="B387" s="13"/>
      <c r="C387" s="14"/>
      <c r="D387" s="15"/>
      <c r="E387" s="15"/>
      <c r="F387" s="15"/>
      <c r="G387" s="15"/>
      <c r="H387" s="15"/>
      <c r="I387" s="15"/>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8"/>
      <c r="AL387" s="9"/>
      <c r="AM387" s="9"/>
      <c r="AN387" s="11"/>
      <c r="AO387" s="11"/>
      <c r="AP387" s="11"/>
      <c r="AQ387" s="11"/>
      <c r="AR387" s="11"/>
      <c r="AS387" s="11"/>
      <c r="AT387" s="11"/>
      <c r="AU387" s="11"/>
      <c r="AV387" s="11"/>
      <c r="AW387" s="11"/>
      <c r="AX387" s="11"/>
      <c r="AY387" s="11"/>
      <c r="AZ387" s="11"/>
    </row>
    <row r="388" ht="15.75" customHeight="1">
      <c r="A388" s="12"/>
      <c r="B388" s="13"/>
      <c r="C388" s="14"/>
      <c r="D388" s="15"/>
      <c r="E388" s="15"/>
      <c r="F388" s="15"/>
      <c r="G388" s="15"/>
      <c r="H388" s="15"/>
      <c r="I388" s="15"/>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8"/>
      <c r="AL388" s="9"/>
      <c r="AM388" s="9"/>
      <c r="AN388" s="11"/>
      <c r="AO388" s="11"/>
      <c r="AP388" s="11"/>
      <c r="AQ388" s="11"/>
      <c r="AR388" s="11"/>
      <c r="AS388" s="11"/>
      <c r="AT388" s="11"/>
      <c r="AU388" s="11"/>
      <c r="AV388" s="11"/>
      <c r="AW388" s="11"/>
      <c r="AX388" s="11"/>
      <c r="AY388" s="11"/>
      <c r="AZ388" s="11"/>
    </row>
    <row r="389" ht="15.75" customHeight="1">
      <c r="A389" s="12"/>
      <c r="B389" s="13"/>
      <c r="C389" s="14"/>
      <c r="D389" s="15"/>
      <c r="E389" s="15"/>
      <c r="F389" s="15"/>
      <c r="G389" s="15"/>
      <c r="H389" s="15"/>
      <c r="I389" s="15"/>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8"/>
      <c r="AL389" s="9"/>
      <c r="AM389" s="9"/>
      <c r="AN389" s="11"/>
      <c r="AO389" s="11"/>
      <c r="AP389" s="11"/>
      <c r="AQ389" s="11"/>
      <c r="AR389" s="11"/>
      <c r="AS389" s="11"/>
      <c r="AT389" s="11"/>
      <c r="AU389" s="11"/>
      <c r="AV389" s="11"/>
      <c r="AW389" s="11"/>
      <c r="AX389" s="11"/>
      <c r="AY389" s="11"/>
      <c r="AZ389" s="11"/>
    </row>
    <row r="390" ht="15.75" customHeight="1">
      <c r="A390" s="12"/>
      <c r="B390" s="13"/>
      <c r="C390" s="14"/>
      <c r="D390" s="15"/>
      <c r="E390" s="15"/>
      <c r="F390" s="15"/>
      <c r="G390" s="15"/>
      <c r="H390" s="15"/>
      <c r="I390" s="15"/>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8"/>
      <c r="AL390" s="9"/>
      <c r="AM390" s="9"/>
      <c r="AN390" s="11"/>
      <c r="AO390" s="11"/>
      <c r="AP390" s="11"/>
      <c r="AQ390" s="11"/>
      <c r="AR390" s="11"/>
      <c r="AS390" s="11"/>
      <c r="AT390" s="11"/>
      <c r="AU390" s="11"/>
      <c r="AV390" s="11"/>
      <c r="AW390" s="11"/>
      <c r="AX390" s="11"/>
      <c r="AY390" s="11"/>
      <c r="AZ390" s="11"/>
    </row>
    <row r="391" ht="15.75" customHeight="1">
      <c r="A391" s="12"/>
      <c r="B391" s="13"/>
      <c r="C391" s="14"/>
      <c r="D391" s="15"/>
      <c r="E391" s="15"/>
      <c r="F391" s="15"/>
      <c r="G391" s="15"/>
      <c r="H391" s="15"/>
      <c r="I391" s="15"/>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8"/>
      <c r="AL391" s="9"/>
      <c r="AM391" s="9"/>
      <c r="AN391" s="11"/>
      <c r="AO391" s="11"/>
      <c r="AP391" s="11"/>
      <c r="AQ391" s="11"/>
      <c r="AR391" s="11"/>
      <c r="AS391" s="11"/>
      <c r="AT391" s="11"/>
      <c r="AU391" s="11"/>
      <c r="AV391" s="11"/>
      <c r="AW391" s="11"/>
      <c r="AX391" s="11"/>
      <c r="AY391" s="11"/>
      <c r="AZ391" s="11"/>
    </row>
    <row r="392" ht="15.75" customHeight="1">
      <c r="A392" s="12"/>
      <c r="B392" s="13"/>
      <c r="C392" s="14"/>
      <c r="D392" s="15"/>
      <c r="E392" s="15"/>
      <c r="F392" s="15"/>
      <c r="G392" s="15"/>
      <c r="H392" s="15"/>
      <c r="I392" s="15"/>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8"/>
      <c r="AL392" s="9"/>
      <c r="AM392" s="9"/>
      <c r="AN392" s="11"/>
      <c r="AO392" s="11"/>
      <c r="AP392" s="11"/>
      <c r="AQ392" s="11"/>
      <c r="AR392" s="11"/>
      <c r="AS392" s="11"/>
      <c r="AT392" s="11"/>
      <c r="AU392" s="11"/>
      <c r="AV392" s="11"/>
      <c r="AW392" s="11"/>
      <c r="AX392" s="11"/>
      <c r="AY392" s="11"/>
      <c r="AZ392" s="11"/>
    </row>
    <row r="393" ht="15.75" customHeight="1">
      <c r="A393" s="12"/>
      <c r="B393" s="13"/>
      <c r="C393" s="14"/>
      <c r="D393" s="15"/>
      <c r="E393" s="15"/>
      <c r="F393" s="15"/>
      <c r="G393" s="15"/>
      <c r="H393" s="15"/>
      <c r="I393" s="15"/>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8"/>
      <c r="AL393" s="9"/>
      <c r="AM393" s="9"/>
      <c r="AN393" s="11"/>
      <c r="AO393" s="11"/>
      <c r="AP393" s="11"/>
      <c r="AQ393" s="11"/>
      <c r="AR393" s="11"/>
      <c r="AS393" s="11"/>
      <c r="AT393" s="11"/>
      <c r="AU393" s="11"/>
      <c r="AV393" s="11"/>
      <c r="AW393" s="11"/>
      <c r="AX393" s="11"/>
      <c r="AY393" s="11"/>
      <c r="AZ393" s="11"/>
    </row>
    <row r="394" ht="15.75" customHeight="1">
      <c r="A394" s="12"/>
      <c r="B394" s="13"/>
      <c r="C394" s="14"/>
      <c r="D394" s="15"/>
      <c r="E394" s="15"/>
      <c r="F394" s="15"/>
      <c r="G394" s="15"/>
      <c r="H394" s="15"/>
      <c r="I394" s="15"/>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8"/>
      <c r="AL394" s="9"/>
      <c r="AM394" s="9"/>
      <c r="AN394" s="11"/>
      <c r="AO394" s="11"/>
      <c r="AP394" s="11"/>
      <c r="AQ394" s="11"/>
      <c r="AR394" s="11"/>
      <c r="AS394" s="11"/>
      <c r="AT394" s="11"/>
      <c r="AU394" s="11"/>
      <c r="AV394" s="11"/>
      <c r="AW394" s="11"/>
      <c r="AX394" s="11"/>
      <c r="AY394" s="11"/>
      <c r="AZ394" s="11"/>
    </row>
    <row r="395" ht="15.75" customHeight="1">
      <c r="A395" s="12"/>
      <c r="B395" s="13"/>
      <c r="C395" s="14"/>
      <c r="D395" s="15"/>
      <c r="E395" s="15"/>
      <c r="F395" s="15"/>
      <c r="G395" s="15"/>
      <c r="H395" s="15"/>
      <c r="I395" s="15"/>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8"/>
      <c r="AL395" s="9"/>
      <c r="AM395" s="9"/>
      <c r="AN395" s="11"/>
      <c r="AO395" s="11"/>
      <c r="AP395" s="11"/>
      <c r="AQ395" s="11"/>
      <c r="AR395" s="11"/>
      <c r="AS395" s="11"/>
      <c r="AT395" s="11"/>
      <c r="AU395" s="11"/>
      <c r="AV395" s="11"/>
      <c r="AW395" s="11"/>
      <c r="AX395" s="11"/>
      <c r="AY395" s="11"/>
      <c r="AZ395" s="11"/>
    </row>
    <row r="396" ht="15.75" customHeight="1">
      <c r="A396" s="12"/>
      <c r="B396" s="13"/>
      <c r="C396" s="14"/>
      <c r="D396" s="15"/>
      <c r="E396" s="15"/>
      <c r="F396" s="15"/>
      <c r="G396" s="15"/>
      <c r="H396" s="15"/>
      <c r="I396" s="15"/>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8"/>
      <c r="AL396" s="9"/>
      <c r="AM396" s="9"/>
      <c r="AN396" s="11"/>
      <c r="AO396" s="11"/>
      <c r="AP396" s="11"/>
      <c r="AQ396" s="11"/>
      <c r="AR396" s="11"/>
      <c r="AS396" s="11"/>
      <c r="AT396" s="11"/>
      <c r="AU396" s="11"/>
      <c r="AV396" s="11"/>
      <c r="AW396" s="11"/>
      <c r="AX396" s="11"/>
      <c r="AY396" s="11"/>
      <c r="AZ396" s="11"/>
    </row>
    <row r="397" ht="15.75" customHeight="1">
      <c r="A397" s="12"/>
      <c r="B397" s="13"/>
      <c r="C397" s="14"/>
      <c r="D397" s="15"/>
      <c r="E397" s="15"/>
      <c r="F397" s="15"/>
      <c r="G397" s="15"/>
      <c r="H397" s="15"/>
      <c r="I397" s="15"/>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8"/>
      <c r="AL397" s="9"/>
      <c r="AM397" s="9"/>
      <c r="AN397" s="11"/>
      <c r="AO397" s="11"/>
      <c r="AP397" s="11"/>
      <c r="AQ397" s="11"/>
      <c r="AR397" s="11"/>
      <c r="AS397" s="11"/>
      <c r="AT397" s="11"/>
      <c r="AU397" s="11"/>
      <c r="AV397" s="11"/>
      <c r="AW397" s="11"/>
      <c r="AX397" s="11"/>
      <c r="AY397" s="11"/>
      <c r="AZ397" s="11"/>
    </row>
    <row r="398" ht="15.75" customHeight="1">
      <c r="A398" s="12"/>
      <c r="B398" s="13"/>
      <c r="C398" s="14"/>
      <c r="D398" s="15"/>
      <c r="E398" s="15"/>
      <c r="F398" s="15"/>
      <c r="G398" s="15"/>
      <c r="H398" s="15"/>
      <c r="I398" s="15"/>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8"/>
      <c r="AL398" s="9"/>
      <c r="AM398" s="9"/>
      <c r="AN398" s="11"/>
      <c r="AO398" s="11"/>
      <c r="AP398" s="11"/>
      <c r="AQ398" s="11"/>
      <c r="AR398" s="11"/>
      <c r="AS398" s="11"/>
      <c r="AT398" s="11"/>
      <c r="AU398" s="11"/>
      <c r="AV398" s="11"/>
      <c r="AW398" s="11"/>
      <c r="AX398" s="11"/>
      <c r="AY398" s="11"/>
      <c r="AZ398" s="11"/>
    </row>
    <row r="399" ht="15.75" customHeight="1">
      <c r="A399" s="12"/>
      <c r="B399" s="13"/>
      <c r="C399" s="14"/>
      <c r="D399" s="15"/>
      <c r="E399" s="15"/>
      <c r="F399" s="15"/>
      <c r="G399" s="15"/>
      <c r="H399" s="15"/>
      <c r="I399" s="15"/>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8"/>
      <c r="AL399" s="9"/>
      <c r="AM399" s="9"/>
      <c r="AN399" s="11"/>
      <c r="AO399" s="11"/>
      <c r="AP399" s="11"/>
      <c r="AQ399" s="11"/>
      <c r="AR399" s="11"/>
      <c r="AS399" s="11"/>
      <c r="AT399" s="11"/>
      <c r="AU399" s="11"/>
      <c r="AV399" s="11"/>
      <c r="AW399" s="11"/>
      <c r="AX399" s="11"/>
      <c r="AY399" s="11"/>
      <c r="AZ399" s="11"/>
    </row>
    <row r="400" ht="15.75" customHeight="1">
      <c r="A400" s="12"/>
      <c r="B400" s="13"/>
      <c r="C400" s="14"/>
      <c r="D400" s="15"/>
      <c r="E400" s="15"/>
      <c r="F400" s="15"/>
      <c r="G400" s="15"/>
      <c r="H400" s="15"/>
      <c r="I400" s="15"/>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8"/>
      <c r="AL400" s="9"/>
      <c r="AM400" s="9"/>
      <c r="AN400" s="11"/>
      <c r="AO400" s="11"/>
      <c r="AP400" s="11"/>
      <c r="AQ400" s="11"/>
      <c r="AR400" s="11"/>
      <c r="AS400" s="11"/>
      <c r="AT400" s="11"/>
      <c r="AU400" s="11"/>
      <c r="AV400" s="11"/>
      <c r="AW400" s="11"/>
      <c r="AX400" s="11"/>
      <c r="AY400" s="11"/>
      <c r="AZ400" s="11"/>
    </row>
    <row r="401" ht="15.75" customHeight="1">
      <c r="A401" s="12"/>
      <c r="B401" s="13"/>
      <c r="C401" s="14"/>
      <c r="D401" s="15"/>
      <c r="E401" s="15"/>
      <c r="F401" s="15"/>
      <c r="G401" s="15"/>
      <c r="H401" s="15"/>
      <c r="I401" s="15"/>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8"/>
      <c r="AL401" s="9"/>
      <c r="AM401" s="9"/>
      <c r="AN401" s="11"/>
      <c r="AO401" s="11"/>
      <c r="AP401" s="11"/>
      <c r="AQ401" s="11"/>
      <c r="AR401" s="11"/>
      <c r="AS401" s="11"/>
      <c r="AT401" s="11"/>
      <c r="AU401" s="11"/>
      <c r="AV401" s="11"/>
      <c r="AW401" s="11"/>
      <c r="AX401" s="11"/>
      <c r="AY401" s="11"/>
      <c r="AZ401" s="11"/>
    </row>
    <row r="402" ht="15.75" customHeight="1">
      <c r="A402" s="12"/>
      <c r="B402" s="13"/>
      <c r="C402" s="14"/>
      <c r="D402" s="15"/>
      <c r="E402" s="15"/>
      <c r="F402" s="15"/>
      <c r="G402" s="15"/>
      <c r="H402" s="15"/>
      <c r="I402" s="15"/>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8"/>
      <c r="AL402" s="9"/>
      <c r="AM402" s="9"/>
      <c r="AN402" s="11"/>
      <c r="AO402" s="11"/>
      <c r="AP402" s="11"/>
      <c r="AQ402" s="11"/>
      <c r="AR402" s="11"/>
      <c r="AS402" s="11"/>
      <c r="AT402" s="11"/>
      <c r="AU402" s="11"/>
      <c r="AV402" s="11"/>
      <c r="AW402" s="11"/>
      <c r="AX402" s="11"/>
      <c r="AY402" s="11"/>
      <c r="AZ402" s="11"/>
    </row>
    <row r="403" ht="15.75" customHeight="1">
      <c r="A403" s="12"/>
      <c r="B403" s="13"/>
      <c r="C403" s="14"/>
      <c r="D403" s="15"/>
      <c r="E403" s="15"/>
      <c r="F403" s="15"/>
      <c r="G403" s="15"/>
      <c r="H403" s="15"/>
      <c r="I403" s="15"/>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8"/>
      <c r="AL403" s="9"/>
      <c r="AM403" s="9"/>
      <c r="AN403" s="11"/>
      <c r="AO403" s="11"/>
      <c r="AP403" s="11"/>
      <c r="AQ403" s="11"/>
      <c r="AR403" s="11"/>
      <c r="AS403" s="11"/>
      <c r="AT403" s="11"/>
      <c r="AU403" s="11"/>
      <c r="AV403" s="11"/>
      <c r="AW403" s="11"/>
      <c r="AX403" s="11"/>
      <c r="AY403" s="11"/>
      <c r="AZ403" s="11"/>
    </row>
    <row r="404" ht="15.75" customHeight="1">
      <c r="A404" s="12"/>
      <c r="B404" s="13"/>
      <c r="C404" s="14"/>
      <c r="D404" s="15"/>
      <c r="E404" s="15"/>
      <c r="F404" s="15"/>
      <c r="G404" s="15"/>
      <c r="H404" s="15"/>
      <c r="I404" s="15"/>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8"/>
      <c r="AL404" s="9"/>
      <c r="AM404" s="9"/>
      <c r="AN404" s="11"/>
      <c r="AO404" s="11"/>
      <c r="AP404" s="11"/>
      <c r="AQ404" s="11"/>
      <c r="AR404" s="11"/>
      <c r="AS404" s="11"/>
      <c r="AT404" s="11"/>
      <c r="AU404" s="11"/>
      <c r="AV404" s="11"/>
      <c r="AW404" s="11"/>
      <c r="AX404" s="11"/>
      <c r="AY404" s="11"/>
      <c r="AZ404" s="11"/>
    </row>
    <row r="405" ht="15.75" customHeight="1">
      <c r="A405" s="12"/>
      <c r="B405" s="13"/>
      <c r="C405" s="14"/>
      <c r="D405" s="15"/>
      <c r="E405" s="15"/>
      <c r="F405" s="15"/>
      <c r="G405" s="15"/>
      <c r="H405" s="15"/>
      <c r="I405" s="15"/>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8"/>
      <c r="AL405" s="9"/>
      <c r="AM405" s="9"/>
      <c r="AN405" s="11"/>
      <c r="AO405" s="11"/>
      <c r="AP405" s="11"/>
      <c r="AQ405" s="11"/>
      <c r="AR405" s="11"/>
      <c r="AS405" s="11"/>
      <c r="AT405" s="11"/>
      <c r="AU405" s="11"/>
      <c r="AV405" s="11"/>
      <c r="AW405" s="11"/>
      <c r="AX405" s="11"/>
      <c r="AY405" s="11"/>
      <c r="AZ405" s="11"/>
    </row>
    <row r="406" ht="15.75" customHeight="1">
      <c r="A406" s="12"/>
      <c r="B406" s="13"/>
      <c r="C406" s="14"/>
      <c r="D406" s="15"/>
      <c r="E406" s="15"/>
      <c r="F406" s="15"/>
      <c r="G406" s="15"/>
      <c r="H406" s="15"/>
      <c r="I406" s="15"/>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8"/>
      <c r="AL406" s="9"/>
      <c r="AM406" s="9"/>
      <c r="AN406" s="11"/>
      <c r="AO406" s="11"/>
      <c r="AP406" s="11"/>
      <c r="AQ406" s="11"/>
      <c r="AR406" s="11"/>
      <c r="AS406" s="11"/>
      <c r="AT406" s="11"/>
      <c r="AU406" s="11"/>
      <c r="AV406" s="11"/>
      <c r="AW406" s="11"/>
      <c r="AX406" s="11"/>
      <c r="AY406" s="11"/>
      <c r="AZ406" s="11"/>
    </row>
    <row r="407" ht="15.75" customHeight="1">
      <c r="A407" s="12"/>
      <c r="B407" s="13"/>
      <c r="C407" s="14"/>
      <c r="D407" s="15"/>
      <c r="E407" s="15"/>
      <c r="F407" s="15"/>
      <c r="G407" s="15"/>
      <c r="H407" s="15"/>
      <c r="I407" s="15"/>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8"/>
      <c r="AL407" s="9"/>
      <c r="AM407" s="9"/>
      <c r="AN407" s="11"/>
      <c r="AO407" s="11"/>
      <c r="AP407" s="11"/>
      <c r="AQ407" s="11"/>
      <c r="AR407" s="11"/>
      <c r="AS407" s="11"/>
      <c r="AT407" s="11"/>
      <c r="AU407" s="11"/>
      <c r="AV407" s="11"/>
      <c r="AW407" s="11"/>
      <c r="AX407" s="11"/>
      <c r="AY407" s="11"/>
      <c r="AZ407" s="11"/>
    </row>
    <row r="408" ht="15.75" customHeight="1">
      <c r="A408" s="12"/>
      <c r="B408" s="13"/>
      <c r="C408" s="14"/>
      <c r="D408" s="15"/>
      <c r="E408" s="15"/>
      <c r="F408" s="15"/>
      <c r="G408" s="15"/>
      <c r="H408" s="15"/>
      <c r="I408" s="15"/>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8"/>
      <c r="AL408" s="9"/>
      <c r="AM408" s="9"/>
      <c r="AN408" s="11"/>
      <c r="AO408" s="11"/>
      <c r="AP408" s="11"/>
      <c r="AQ408" s="11"/>
      <c r="AR408" s="11"/>
      <c r="AS408" s="11"/>
      <c r="AT408" s="11"/>
      <c r="AU408" s="11"/>
      <c r="AV408" s="11"/>
      <c r="AW408" s="11"/>
      <c r="AX408" s="11"/>
      <c r="AY408" s="11"/>
      <c r="AZ408" s="11"/>
    </row>
    <row r="409" ht="15.75" customHeight="1">
      <c r="A409" s="12"/>
      <c r="B409" s="13"/>
      <c r="C409" s="14"/>
      <c r="D409" s="15"/>
      <c r="E409" s="15"/>
      <c r="F409" s="15"/>
      <c r="G409" s="15"/>
      <c r="H409" s="15"/>
      <c r="I409" s="15"/>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8"/>
      <c r="AL409" s="9"/>
      <c r="AM409" s="9"/>
      <c r="AN409" s="11"/>
      <c r="AO409" s="11"/>
      <c r="AP409" s="11"/>
      <c r="AQ409" s="11"/>
      <c r="AR409" s="11"/>
      <c r="AS409" s="11"/>
      <c r="AT409" s="11"/>
      <c r="AU409" s="11"/>
      <c r="AV409" s="11"/>
      <c r="AW409" s="11"/>
      <c r="AX409" s="11"/>
      <c r="AY409" s="11"/>
      <c r="AZ409" s="11"/>
    </row>
    <row r="410" ht="15.75" customHeight="1">
      <c r="A410" s="12"/>
      <c r="B410" s="13"/>
      <c r="C410" s="14"/>
      <c r="D410" s="15"/>
      <c r="E410" s="15"/>
      <c r="F410" s="15"/>
      <c r="G410" s="15"/>
      <c r="H410" s="15"/>
      <c r="I410" s="15"/>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8"/>
      <c r="AL410" s="9"/>
      <c r="AM410" s="9"/>
      <c r="AN410" s="11"/>
      <c r="AO410" s="11"/>
      <c r="AP410" s="11"/>
      <c r="AQ410" s="11"/>
      <c r="AR410" s="11"/>
      <c r="AS410" s="11"/>
      <c r="AT410" s="11"/>
      <c r="AU410" s="11"/>
      <c r="AV410" s="11"/>
      <c r="AW410" s="11"/>
      <c r="AX410" s="11"/>
      <c r="AY410" s="11"/>
      <c r="AZ410" s="11"/>
    </row>
    <row r="411" ht="15.75" customHeight="1">
      <c r="A411" s="12"/>
      <c r="B411" s="13"/>
      <c r="C411" s="14"/>
      <c r="D411" s="15"/>
      <c r="E411" s="15"/>
      <c r="F411" s="15"/>
      <c r="G411" s="15"/>
      <c r="H411" s="15"/>
      <c r="I411" s="15"/>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8"/>
      <c r="AL411" s="9"/>
      <c r="AM411" s="9"/>
      <c r="AN411" s="11"/>
      <c r="AO411" s="11"/>
      <c r="AP411" s="11"/>
      <c r="AQ411" s="11"/>
      <c r="AR411" s="11"/>
      <c r="AS411" s="11"/>
      <c r="AT411" s="11"/>
      <c r="AU411" s="11"/>
      <c r="AV411" s="11"/>
      <c r="AW411" s="11"/>
      <c r="AX411" s="11"/>
      <c r="AY411" s="11"/>
      <c r="AZ411" s="11"/>
    </row>
    <row r="412" ht="15.75" customHeight="1">
      <c r="A412" s="12"/>
      <c r="B412" s="13"/>
      <c r="C412" s="14"/>
      <c r="D412" s="15"/>
      <c r="E412" s="15"/>
      <c r="F412" s="15"/>
      <c r="G412" s="15"/>
      <c r="H412" s="15"/>
      <c r="I412" s="15"/>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8"/>
      <c r="AL412" s="9"/>
      <c r="AM412" s="9"/>
      <c r="AN412" s="11"/>
      <c r="AO412" s="11"/>
      <c r="AP412" s="11"/>
      <c r="AQ412" s="11"/>
      <c r="AR412" s="11"/>
      <c r="AS412" s="11"/>
      <c r="AT412" s="11"/>
      <c r="AU412" s="11"/>
      <c r="AV412" s="11"/>
      <c r="AW412" s="11"/>
      <c r="AX412" s="11"/>
      <c r="AY412" s="11"/>
      <c r="AZ412" s="11"/>
    </row>
    <row r="413" ht="15.75" customHeight="1">
      <c r="A413" s="12"/>
      <c r="B413" s="13"/>
      <c r="C413" s="14"/>
      <c r="D413" s="15"/>
      <c r="E413" s="15"/>
      <c r="F413" s="15"/>
      <c r="G413" s="15"/>
      <c r="H413" s="15"/>
      <c r="I413" s="15"/>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8"/>
      <c r="AL413" s="9"/>
      <c r="AM413" s="9"/>
      <c r="AN413" s="11"/>
      <c r="AO413" s="11"/>
      <c r="AP413" s="11"/>
      <c r="AQ413" s="11"/>
      <c r="AR413" s="11"/>
      <c r="AS413" s="11"/>
      <c r="AT413" s="11"/>
      <c r="AU413" s="11"/>
      <c r="AV413" s="11"/>
      <c r="AW413" s="11"/>
      <c r="AX413" s="11"/>
      <c r="AY413" s="11"/>
      <c r="AZ413" s="11"/>
    </row>
    <row r="414" ht="15.75" customHeight="1">
      <c r="A414" s="12"/>
      <c r="B414" s="13"/>
      <c r="C414" s="14"/>
      <c r="D414" s="15"/>
      <c r="E414" s="15"/>
      <c r="F414" s="15"/>
      <c r="G414" s="15"/>
      <c r="H414" s="15"/>
      <c r="I414" s="15"/>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8"/>
      <c r="AL414" s="9"/>
      <c r="AM414" s="9"/>
      <c r="AN414" s="11"/>
      <c r="AO414" s="11"/>
      <c r="AP414" s="11"/>
      <c r="AQ414" s="11"/>
      <c r="AR414" s="11"/>
      <c r="AS414" s="11"/>
      <c r="AT414" s="11"/>
      <c r="AU414" s="11"/>
      <c r="AV414" s="11"/>
      <c r="AW414" s="11"/>
      <c r="AX414" s="11"/>
      <c r="AY414" s="11"/>
      <c r="AZ414" s="11"/>
    </row>
    <row r="415" ht="15.75" customHeight="1">
      <c r="A415" s="12"/>
      <c r="B415" s="13"/>
      <c r="C415" s="14"/>
      <c r="D415" s="15"/>
      <c r="E415" s="15"/>
      <c r="F415" s="15"/>
      <c r="G415" s="15"/>
      <c r="H415" s="15"/>
      <c r="I415" s="15"/>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8"/>
      <c r="AL415" s="9"/>
      <c r="AM415" s="9"/>
      <c r="AN415" s="11"/>
      <c r="AO415" s="11"/>
      <c r="AP415" s="11"/>
      <c r="AQ415" s="11"/>
      <c r="AR415" s="11"/>
      <c r="AS415" s="11"/>
      <c r="AT415" s="11"/>
      <c r="AU415" s="11"/>
      <c r="AV415" s="11"/>
      <c r="AW415" s="11"/>
      <c r="AX415" s="11"/>
      <c r="AY415" s="11"/>
      <c r="AZ415" s="11"/>
    </row>
    <row r="416" ht="15.75" customHeight="1">
      <c r="A416" s="12"/>
      <c r="B416" s="13"/>
      <c r="C416" s="14"/>
      <c r="D416" s="15"/>
      <c r="E416" s="15"/>
      <c r="F416" s="15"/>
      <c r="G416" s="15"/>
      <c r="H416" s="15"/>
      <c r="I416" s="15"/>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8"/>
      <c r="AL416" s="9"/>
      <c r="AM416" s="9"/>
      <c r="AN416" s="11"/>
      <c r="AO416" s="11"/>
      <c r="AP416" s="11"/>
      <c r="AQ416" s="11"/>
      <c r="AR416" s="11"/>
      <c r="AS416" s="11"/>
      <c r="AT416" s="11"/>
      <c r="AU416" s="11"/>
      <c r="AV416" s="11"/>
      <c r="AW416" s="11"/>
      <c r="AX416" s="11"/>
      <c r="AY416" s="11"/>
      <c r="AZ416" s="11"/>
    </row>
    <row r="417" ht="15.75" customHeight="1">
      <c r="A417" s="12"/>
      <c r="B417" s="13"/>
      <c r="C417" s="14"/>
      <c r="D417" s="15"/>
      <c r="E417" s="15"/>
      <c r="F417" s="15"/>
      <c r="G417" s="15"/>
      <c r="H417" s="15"/>
      <c r="I417" s="15"/>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8"/>
      <c r="AL417" s="9"/>
      <c r="AM417" s="9"/>
      <c r="AN417" s="11"/>
      <c r="AO417" s="11"/>
      <c r="AP417" s="11"/>
      <c r="AQ417" s="11"/>
      <c r="AR417" s="11"/>
      <c r="AS417" s="11"/>
      <c r="AT417" s="11"/>
      <c r="AU417" s="11"/>
      <c r="AV417" s="11"/>
      <c r="AW417" s="11"/>
      <c r="AX417" s="11"/>
      <c r="AY417" s="11"/>
      <c r="AZ417" s="11"/>
    </row>
    <row r="418" ht="15.75" customHeight="1">
      <c r="A418" s="12"/>
      <c r="B418" s="13"/>
      <c r="C418" s="14"/>
      <c r="D418" s="15"/>
      <c r="E418" s="15"/>
      <c r="F418" s="15"/>
      <c r="G418" s="15"/>
      <c r="H418" s="15"/>
      <c r="I418" s="15"/>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8"/>
      <c r="AL418" s="9"/>
      <c r="AM418" s="9"/>
      <c r="AN418" s="11"/>
      <c r="AO418" s="11"/>
      <c r="AP418" s="11"/>
      <c r="AQ418" s="11"/>
      <c r="AR418" s="11"/>
      <c r="AS418" s="11"/>
      <c r="AT418" s="11"/>
      <c r="AU418" s="11"/>
      <c r="AV418" s="11"/>
      <c r="AW418" s="11"/>
      <c r="AX418" s="11"/>
      <c r="AY418" s="11"/>
      <c r="AZ418" s="11"/>
    </row>
    <row r="419" ht="15.75" customHeight="1">
      <c r="A419" s="12"/>
      <c r="B419" s="13"/>
      <c r="C419" s="14"/>
      <c r="D419" s="15"/>
      <c r="E419" s="15"/>
      <c r="F419" s="15"/>
      <c r="G419" s="15"/>
      <c r="H419" s="15"/>
      <c r="I419" s="15"/>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8"/>
      <c r="AL419" s="9"/>
      <c r="AM419" s="9"/>
      <c r="AN419" s="11"/>
      <c r="AO419" s="11"/>
      <c r="AP419" s="11"/>
      <c r="AQ419" s="11"/>
      <c r="AR419" s="11"/>
      <c r="AS419" s="11"/>
      <c r="AT419" s="11"/>
      <c r="AU419" s="11"/>
      <c r="AV419" s="11"/>
      <c r="AW419" s="11"/>
      <c r="AX419" s="11"/>
      <c r="AY419" s="11"/>
      <c r="AZ419" s="11"/>
    </row>
    <row r="420" ht="15.75" customHeight="1">
      <c r="A420" s="12"/>
      <c r="B420" s="13"/>
      <c r="C420" s="14"/>
      <c r="D420" s="15"/>
      <c r="E420" s="15"/>
      <c r="F420" s="15"/>
      <c r="G420" s="15"/>
      <c r="H420" s="15"/>
      <c r="I420" s="15"/>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8"/>
      <c r="AL420" s="9"/>
      <c r="AM420" s="9"/>
      <c r="AN420" s="11"/>
      <c r="AO420" s="11"/>
      <c r="AP420" s="11"/>
      <c r="AQ420" s="11"/>
      <c r="AR420" s="11"/>
      <c r="AS420" s="11"/>
      <c r="AT420" s="11"/>
      <c r="AU420" s="11"/>
      <c r="AV420" s="11"/>
      <c r="AW420" s="11"/>
      <c r="AX420" s="11"/>
      <c r="AY420" s="11"/>
      <c r="AZ420" s="11"/>
    </row>
    <row r="421" ht="15.75" customHeight="1">
      <c r="A421" s="12"/>
      <c r="B421" s="13"/>
      <c r="C421" s="14"/>
      <c r="D421" s="15"/>
      <c r="E421" s="15"/>
      <c r="F421" s="15"/>
      <c r="G421" s="15"/>
      <c r="H421" s="15"/>
      <c r="I421" s="15"/>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8"/>
      <c r="AL421" s="9"/>
      <c r="AM421" s="9"/>
      <c r="AN421" s="11"/>
      <c r="AO421" s="11"/>
      <c r="AP421" s="11"/>
      <c r="AQ421" s="11"/>
      <c r="AR421" s="11"/>
      <c r="AS421" s="11"/>
      <c r="AT421" s="11"/>
      <c r="AU421" s="11"/>
      <c r="AV421" s="11"/>
      <c r="AW421" s="11"/>
      <c r="AX421" s="11"/>
      <c r="AY421" s="11"/>
      <c r="AZ421" s="11"/>
    </row>
    <row r="422" ht="15.75" customHeight="1">
      <c r="A422" s="12"/>
      <c r="B422" s="13"/>
      <c r="C422" s="14"/>
      <c r="D422" s="15"/>
      <c r="E422" s="15"/>
      <c r="F422" s="15"/>
      <c r="G422" s="15"/>
      <c r="H422" s="15"/>
      <c r="I422" s="15"/>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8"/>
      <c r="AL422" s="9"/>
      <c r="AM422" s="9"/>
      <c r="AN422" s="11"/>
      <c r="AO422" s="11"/>
      <c r="AP422" s="11"/>
      <c r="AQ422" s="11"/>
      <c r="AR422" s="11"/>
      <c r="AS422" s="11"/>
      <c r="AT422" s="11"/>
      <c r="AU422" s="11"/>
      <c r="AV422" s="11"/>
      <c r="AW422" s="11"/>
      <c r="AX422" s="11"/>
      <c r="AY422" s="11"/>
      <c r="AZ422" s="11"/>
    </row>
    <row r="423" ht="15.75" customHeight="1">
      <c r="A423" s="12"/>
      <c r="B423" s="13"/>
      <c r="C423" s="14"/>
      <c r="D423" s="15"/>
      <c r="E423" s="15"/>
      <c r="F423" s="15"/>
      <c r="G423" s="15"/>
      <c r="H423" s="15"/>
      <c r="I423" s="15"/>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8"/>
      <c r="AL423" s="9"/>
      <c r="AM423" s="9"/>
      <c r="AN423" s="11"/>
      <c r="AO423" s="11"/>
      <c r="AP423" s="11"/>
      <c r="AQ423" s="11"/>
      <c r="AR423" s="11"/>
      <c r="AS423" s="11"/>
      <c r="AT423" s="11"/>
      <c r="AU423" s="11"/>
      <c r="AV423" s="11"/>
      <c r="AW423" s="11"/>
      <c r="AX423" s="11"/>
      <c r="AY423" s="11"/>
      <c r="AZ423" s="11"/>
    </row>
    <row r="424" ht="15.75" customHeight="1">
      <c r="A424" s="12"/>
      <c r="B424" s="13"/>
      <c r="C424" s="14"/>
      <c r="D424" s="15"/>
      <c r="E424" s="15"/>
      <c r="F424" s="15"/>
      <c r="G424" s="15"/>
      <c r="H424" s="15"/>
      <c r="I424" s="15"/>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8"/>
      <c r="AL424" s="9"/>
      <c r="AM424" s="9"/>
      <c r="AN424" s="11"/>
      <c r="AO424" s="11"/>
      <c r="AP424" s="11"/>
      <c r="AQ424" s="11"/>
      <c r="AR424" s="11"/>
      <c r="AS424" s="11"/>
      <c r="AT424" s="11"/>
      <c r="AU424" s="11"/>
      <c r="AV424" s="11"/>
      <c r="AW424" s="11"/>
      <c r="AX424" s="11"/>
      <c r="AY424" s="11"/>
      <c r="AZ424" s="11"/>
    </row>
    <row r="425" ht="15.75" customHeight="1">
      <c r="A425" s="12"/>
      <c r="B425" s="13"/>
      <c r="C425" s="14"/>
      <c r="D425" s="15"/>
      <c r="E425" s="15"/>
      <c r="F425" s="15"/>
      <c r="G425" s="15"/>
      <c r="H425" s="15"/>
      <c r="I425" s="15"/>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8"/>
      <c r="AL425" s="9"/>
      <c r="AM425" s="9"/>
      <c r="AN425" s="11"/>
      <c r="AO425" s="11"/>
      <c r="AP425" s="11"/>
      <c r="AQ425" s="11"/>
      <c r="AR425" s="11"/>
      <c r="AS425" s="11"/>
      <c r="AT425" s="11"/>
      <c r="AU425" s="11"/>
      <c r="AV425" s="11"/>
      <c r="AW425" s="11"/>
      <c r="AX425" s="11"/>
      <c r="AY425" s="11"/>
      <c r="AZ425" s="11"/>
    </row>
    <row r="426" ht="15.75" customHeight="1">
      <c r="A426" s="12"/>
      <c r="B426" s="13"/>
      <c r="C426" s="14"/>
      <c r="D426" s="15"/>
      <c r="E426" s="15"/>
      <c r="F426" s="15"/>
      <c r="G426" s="15"/>
      <c r="H426" s="15"/>
      <c r="I426" s="15"/>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8"/>
      <c r="AL426" s="9"/>
      <c r="AM426" s="9"/>
      <c r="AN426" s="11"/>
      <c r="AO426" s="11"/>
      <c r="AP426" s="11"/>
      <c r="AQ426" s="11"/>
      <c r="AR426" s="11"/>
      <c r="AS426" s="11"/>
      <c r="AT426" s="11"/>
      <c r="AU426" s="11"/>
      <c r="AV426" s="11"/>
      <c r="AW426" s="11"/>
      <c r="AX426" s="11"/>
      <c r="AY426" s="11"/>
      <c r="AZ426" s="11"/>
    </row>
    <row r="427" ht="15.75" customHeight="1">
      <c r="A427" s="12"/>
      <c r="B427" s="13"/>
      <c r="C427" s="14"/>
      <c r="D427" s="15"/>
      <c r="E427" s="15"/>
      <c r="F427" s="15"/>
      <c r="G427" s="15"/>
      <c r="H427" s="15"/>
      <c r="I427" s="15"/>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8"/>
      <c r="AL427" s="9"/>
      <c r="AM427" s="9"/>
      <c r="AN427" s="11"/>
      <c r="AO427" s="11"/>
      <c r="AP427" s="11"/>
      <c r="AQ427" s="11"/>
      <c r="AR427" s="11"/>
      <c r="AS427" s="11"/>
      <c r="AT427" s="11"/>
      <c r="AU427" s="11"/>
      <c r="AV427" s="11"/>
      <c r="AW427" s="11"/>
      <c r="AX427" s="11"/>
      <c r="AY427" s="11"/>
      <c r="AZ427" s="11"/>
    </row>
    <row r="428" ht="15.75" customHeight="1">
      <c r="A428" s="12"/>
      <c r="B428" s="13"/>
      <c r="C428" s="14"/>
      <c r="D428" s="15"/>
      <c r="E428" s="15"/>
      <c r="F428" s="15"/>
      <c r="G428" s="15"/>
      <c r="H428" s="15"/>
      <c r="I428" s="15"/>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8"/>
      <c r="AL428" s="9"/>
      <c r="AM428" s="9"/>
      <c r="AN428" s="11"/>
      <c r="AO428" s="11"/>
      <c r="AP428" s="11"/>
      <c r="AQ428" s="11"/>
      <c r="AR428" s="11"/>
      <c r="AS428" s="11"/>
      <c r="AT428" s="11"/>
      <c r="AU428" s="11"/>
      <c r="AV428" s="11"/>
      <c r="AW428" s="11"/>
      <c r="AX428" s="11"/>
      <c r="AY428" s="11"/>
      <c r="AZ428" s="11"/>
    </row>
    <row r="429" ht="15.75" customHeight="1">
      <c r="A429" s="12"/>
      <c r="B429" s="13"/>
      <c r="C429" s="14"/>
      <c r="D429" s="15"/>
      <c r="E429" s="15"/>
      <c r="F429" s="15"/>
      <c r="G429" s="15"/>
      <c r="H429" s="15"/>
      <c r="I429" s="15"/>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8"/>
      <c r="AL429" s="9"/>
      <c r="AM429" s="9"/>
      <c r="AN429" s="11"/>
      <c r="AO429" s="11"/>
      <c r="AP429" s="11"/>
      <c r="AQ429" s="11"/>
      <c r="AR429" s="11"/>
      <c r="AS429" s="11"/>
      <c r="AT429" s="11"/>
      <c r="AU429" s="11"/>
      <c r="AV429" s="11"/>
      <c r="AW429" s="11"/>
      <c r="AX429" s="11"/>
      <c r="AY429" s="11"/>
      <c r="AZ429" s="11"/>
    </row>
    <row r="430" ht="15.75" customHeight="1">
      <c r="A430" s="12"/>
      <c r="B430" s="13"/>
      <c r="C430" s="14"/>
      <c r="D430" s="15"/>
      <c r="E430" s="15"/>
      <c r="F430" s="15"/>
      <c r="G430" s="15"/>
      <c r="H430" s="15"/>
      <c r="I430" s="15"/>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8"/>
      <c r="AL430" s="9"/>
      <c r="AM430" s="9"/>
      <c r="AN430" s="11"/>
      <c r="AO430" s="11"/>
      <c r="AP430" s="11"/>
      <c r="AQ430" s="11"/>
      <c r="AR430" s="11"/>
      <c r="AS430" s="11"/>
      <c r="AT430" s="11"/>
      <c r="AU430" s="11"/>
      <c r="AV430" s="11"/>
      <c r="AW430" s="11"/>
      <c r="AX430" s="11"/>
      <c r="AY430" s="11"/>
      <c r="AZ430" s="11"/>
    </row>
    <row r="431" ht="15.75" customHeight="1">
      <c r="A431" s="12"/>
      <c r="B431" s="13"/>
      <c r="C431" s="14"/>
      <c r="D431" s="15"/>
      <c r="E431" s="15"/>
      <c r="F431" s="15"/>
      <c r="G431" s="15"/>
      <c r="H431" s="15"/>
      <c r="I431" s="15"/>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8"/>
      <c r="AL431" s="9"/>
      <c r="AM431" s="9"/>
      <c r="AN431" s="11"/>
      <c r="AO431" s="11"/>
      <c r="AP431" s="11"/>
      <c r="AQ431" s="11"/>
      <c r="AR431" s="11"/>
      <c r="AS431" s="11"/>
      <c r="AT431" s="11"/>
      <c r="AU431" s="11"/>
      <c r="AV431" s="11"/>
      <c r="AW431" s="11"/>
      <c r="AX431" s="11"/>
      <c r="AY431" s="11"/>
      <c r="AZ431" s="11"/>
    </row>
    <row r="432" ht="15.75" customHeight="1">
      <c r="A432" s="12"/>
      <c r="B432" s="13"/>
      <c r="C432" s="14"/>
      <c r="D432" s="15"/>
      <c r="E432" s="15"/>
      <c r="F432" s="15"/>
      <c r="G432" s="15"/>
      <c r="H432" s="15"/>
      <c r="I432" s="15"/>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8"/>
      <c r="AL432" s="9"/>
      <c r="AM432" s="9"/>
      <c r="AN432" s="11"/>
      <c r="AO432" s="11"/>
      <c r="AP432" s="11"/>
      <c r="AQ432" s="11"/>
      <c r="AR432" s="11"/>
      <c r="AS432" s="11"/>
      <c r="AT432" s="11"/>
      <c r="AU432" s="11"/>
      <c r="AV432" s="11"/>
      <c r="AW432" s="11"/>
      <c r="AX432" s="11"/>
      <c r="AY432" s="11"/>
      <c r="AZ432" s="11"/>
    </row>
    <row r="433" ht="15.75" customHeight="1">
      <c r="A433" s="12"/>
      <c r="B433" s="13"/>
      <c r="C433" s="14"/>
      <c r="D433" s="15"/>
      <c r="E433" s="15"/>
      <c r="F433" s="15"/>
      <c r="G433" s="15"/>
      <c r="H433" s="15"/>
      <c r="I433" s="15"/>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8"/>
      <c r="AL433" s="9"/>
      <c r="AM433" s="9"/>
      <c r="AN433" s="11"/>
      <c r="AO433" s="11"/>
      <c r="AP433" s="11"/>
      <c r="AQ433" s="11"/>
      <c r="AR433" s="11"/>
      <c r="AS433" s="11"/>
      <c r="AT433" s="11"/>
      <c r="AU433" s="11"/>
      <c r="AV433" s="11"/>
      <c r="AW433" s="11"/>
      <c r="AX433" s="11"/>
      <c r="AY433" s="11"/>
      <c r="AZ433" s="11"/>
    </row>
    <row r="434" ht="15.75" customHeight="1">
      <c r="A434" s="12"/>
      <c r="B434" s="13"/>
      <c r="C434" s="14"/>
      <c r="D434" s="15"/>
      <c r="E434" s="15"/>
      <c r="F434" s="15"/>
      <c r="G434" s="15"/>
      <c r="H434" s="15"/>
      <c r="I434" s="15"/>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8"/>
      <c r="AL434" s="9"/>
      <c r="AM434" s="9"/>
      <c r="AN434" s="11"/>
      <c r="AO434" s="11"/>
      <c r="AP434" s="11"/>
      <c r="AQ434" s="11"/>
      <c r="AR434" s="11"/>
      <c r="AS434" s="11"/>
      <c r="AT434" s="11"/>
      <c r="AU434" s="11"/>
      <c r="AV434" s="11"/>
      <c r="AW434" s="11"/>
      <c r="AX434" s="11"/>
      <c r="AY434" s="11"/>
      <c r="AZ434" s="11"/>
    </row>
    <row r="435" ht="15.75" customHeight="1">
      <c r="A435" s="12"/>
      <c r="B435" s="13"/>
      <c r="C435" s="14"/>
      <c r="D435" s="15"/>
      <c r="E435" s="15"/>
      <c r="F435" s="15"/>
      <c r="G435" s="15"/>
      <c r="H435" s="15"/>
      <c r="I435" s="15"/>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8"/>
      <c r="AL435" s="9"/>
      <c r="AM435" s="9"/>
      <c r="AN435" s="11"/>
      <c r="AO435" s="11"/>
      <c r="AP435" s="11"/>
      <c r="AQ435" s="11"/>
      <c r="AR435" s="11"/>
      <c r="AS435" s="11"/>
      <c r="AT435" s="11"/>
      <c r="AU435" s="11"/>
      <c r="AV435" s="11"/>
      <c r="AW435" s="11"/>
      <c r="AX435" s="11"/>
      <c r="AY435" s="11"/>
      <c r="AZ435" s="11"/>
    </row>
    <row r="436" ht="15.75" customHeight="1">
      <c r="A436" s="12"/>
      <c r="B436" s="13"/>
      <c r="C436" s="14"/>
      <c r="D436" s="15"/>
      <c r="E436" s="15"/>
      <c r="F436" s="15"/>
      <c r="G436" s="15"/>
      <c r="H436" s="15"/>
      <c r="I436" s="15"/>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8"/>
      <c r="AL436" s="9"/>
      <c r="AM436" s="9"/>
      <c r="AN436" s="11"/>
      <c r="AO436" s="11"/>
      <c r="AP436" s="11"/>
      <c r="AQ436" s="11"/>
      <c r="AR436" s="11"/>
      <c r="AS436" s="11"/>
      <c r="AT436" s="11"/>
      <c r="AU436" s="11"/>
      <c r="AV436" s="11"/>
      <c r="AW436" s="11"/>
      <c r="AX436" s="11"/>
      <c r="AY436" s="11"/>
      <c r="AZ436" s="11"/>
    </row>
    <row r="437" ht="15.75" customHeight="1">
      <c r="A437" s="12"/>
      <c r="B437" s="13"/>
      <c r="C437" s="14"/>
      <c r="D437" s="15"/>
      <c r="E437" s="15"/>
      <c r="F437" s="15"/>
      <c r="G437" s="15"/>
      <c r="H437" s="15"/>
      <c r="I437" s="15"/>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8"/>
      <c r="AL437" s="9"/>
      <c r="AM437" s="9"/>
      <c r="AN437" s="11"/>
      <c r="AO437" s="11"/>
      <c r="AP437" s="11"/>
      <c r="AQ437" s="11"/>
      <c r="AR437" s="11"/>
      <c r="AS437" s="11"/>
      <c r="AT437" s="11"/>
      <c r="AU437" s="11"/>
      <c r="AV437" s="11"/>
      <c r="AW437" s="11"/>
      <c r="AX437" s="11"/>
      <c r="AY437" s="11"/>
      <c r="AZ437" s="11"/>
    </row>
    <row r="438" ht="15.75" customHeight="1">
      <c r="A438" s="12"/>
      <c r="B438" s="13"/>
      <c r="C438" s="14"/>
      <c r="D438" s="15"/>
      <c r="E438" s="15"/>
      <c r="F438" s="15"/>
      <c r="G438" s="15"/>
      <c r="H438" s="15"/>
      <c r="I438" s="15"/>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8"/>
      <c r="AL438" s="9"/>
      <c r="AM438" s="9"/>
      <c r="AN438" s="11"/>
      <c r="AO438" s="11"/>
      <c r="AP438" s="11"/>
      <c r="AQ438" s="11"/>
      <c r="AR438" s="11"/>
      <c r="AS438" s="11"/>
      <c r="AT438" s="11"/>
      <c r="AU438" s="11"/>
      <c r="AV438" s="11"/>
      <c r="AW438" s="11"/>
      <c r="AX438" s="11"/>
      <c r="AY438" s="11"/>
      <c r="AZ438" s="11"/>
    </row>
    <row r="439" ht="15.75" customHeight="1">
      <c r="A439" s="12"/>
      <c r="B439" s="13"/>
      <c r="C439" s="14"/>
      <c r="D439" s="15"/>
      <c r="E439" s="15"/>
      <c r="F439" s="15"/>
      <c r="G439" s="15"/>
      <c r="H439" s="15"/>
      <c r="I439" s="15"/>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8"/>
      <c r="AL439" s="9"/>
      <c r="AM439" s="9"/>
      <c r="AN439" s="11"/>
      <c r="AO439" s="11"/>
      <c r="AP439" s="11"/>
      <c r="AQ439" s="11"/>
      <c r="AR439" s="11"/>
      <c r="AS439" s="11"/>
      <c r="AT439" s="11"/>
      <c r="AU439" s="11"/>
      <c r="AV439" s="11"/>
      <c r="AW439" s="11"/>
      <c r="AX439" s="11"/>
      <c r="AY439" s="11"/>
      <c r="AZ439" s="11"/>
    </row>
    <row r="440" ht="15.75" customHeight="1">
      <c r="A440" s="12"/>
      <c r="B440" s="13"/>
      <c r="C440" s="14"/>
      <c r="D440" s="15"/>
      <c r="E440" s="15"/>
      <c r="F440" s="15"/>
      <c r="G440" s="15"/>
      <c r="H440" s="15"/>
      <c r="I440" s="15"/>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8"/>
      <c r="AL440" s="9"/>
      <c r="AM440" s="9"/>
      <c r="AN440" s="11"/>
      <c r="AO440" s="11"/>
      <c r="AP440" s="11"/>
      <c r="AQ440" s="11"/>
      <c r="AR440" s="11"/>
      <c r="AS440" s="11"/>
      <c r="AT440" s="11"/>
      <c r="AU440" s="11"/>
      <c r="AV440" s="11"/>
      <c r="AW440" s="11"/>
      <c r="AX440" s="11"/>
      <c r="AY440" s="11"/>
      <c r="AZ440" s="11"/>
    </row>
    <row r="441" ht="15.75" customHeight="1">
      <c r="A441" s="12"/>
      <c r="B441" s="13"/>
      <c r="C441" s="14"/>
      <c r="D441" s="15"/>
      <c r="E441" s="15"/>
      <c r="F441" s="15"/>
      <c r="G441" s="15"/>
      <c r="H441" s="15"/>
      <c r="I441" s="15"/>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8"/>
      <c r="AL441" s="9"/>
      <c r="AM441" s="9"/>
      <c r="AN441" s="11"/>
      <c r="AO441" s="11"/>
      <c r="AP441" s="11"/>
      <c r="AQ441" s="11"/>
      <c r="AR441" s="11"/>
      <c r="AS441" s="11"/>
      <c r="AT441" s="11"/>
      <c r="AU441" s="11"/>
      <c r="AV441" s="11"/>
      <c r="AW441" s="11"/>
      <c r="AX441" s="11"/>
      <c r="AY441" s="11"/>
      <c r="AZ441" s="11"/>
    </row>
    <row r="442" ht="15.75" customHeight="1">
      <c r="A442" s="12"/>
      <c r="B442" s="13"/>
      <c r="C442" s="14"/>
      <c r="D442" s="15"/>
      <c r="E442" s="15"/>
      <c r="F442" s="15"/>
      <c r="G442" s="15"/>
      <c r="H442" s="15"/>
      <c r="I442" s="15"/>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8"/>
      <c r="AL442" s="9"/>
      <c r="AM442" s="9"/>
      <c r="AN442" s="11"/>
      <c r="AO442" s="11"/>
      <c r="AP442" s="11"/>
      <c r="AQ442" s="11"/>
      <c r="AR442" s="11"/>
      <c r="AS442" s="11"/>
      <c r="AT442" s="11"/>
      <c r="AU442" s="11"/>
      <c r="AV442" s="11"/>
      <c r="AW442" s="11"/>
      <c r="AX442" s="11"/>
      <c r="AY442" s="11"/>
      <c r="AZ442" s="11"/>
    </row>
    <row r="443" ht="15.75" customHeight="1">
      <c r="A443" s="12"/>
      <c r="B443" s="13"/>
      <c r="C443" s="14"/>
      <c r="D443" s="15"/>
      <c r="E443" s="15"/>
      <c r="F443" s="15"/>
      <c r="G443" s="15"/>
      <c r="H443" s="15"/>
      <c r="I443" s="15"/>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8"/>
      <c r="AL443" s="9"/>
      <c r="AM443" s="9"/>
      <c r="AN443" s="11"/>
      <c r="AO443" s="11"/>
      <c r="AP443" s="11"/>
      <c r="AQ443" s="11"/>
      <c r="AR443" s="11"/>
      <c r="AS443" s="11"/>
      <c r="AT443" s="11"/>
      <c r="AU443" s="11"/>
      <c r="AV443" s="11"/>
      <c r="AW443" s="11"/>
      <c r="AX443" s="11"/>
      <c r="AY443" s="11"/>
      <c r="AZ443" s="11"/>
    </row>
    <row r="444" ht="15.75" customHeight="1">
      <c r="A444" s="12"/>
      <c r="B444" s="13"/>
      <c r="C444" s="14"/>
      <c r="D444" s="15"/>
      <c r="E444" s="15"/>
      <c r="F444" s="15"/>
      <c r="G444" s="15"/>
      <c r="H444" s="15"/>
      <c r="I444" s="15"/>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8"/>
      <c r="AL444" s="9"/>
      <c r="AM444" s="9"/>
      <c r="AN444" s="11"/>
      <c r="AO444" s="11"/>
      <c r="AP444" s="11"/>
      <c r="AQ444" s="11"/>
      <c r="AR444" s="11"/>
      <c r="AS444" s="11"/>
      <c r="AT444" s="11"/>
      <c r="AU444" s="11"/>
      <c r="AV444" s="11"/>
      <c r="AW444" s="11"/>
      <c r="AX444" s="11"/>
      <c r="AY444" s="11"/>
      <c r="AZ444" s="11"/>
    </row>
    <row r="445" ht="15.75" customHeight="1">
      <c r="A445" s="12"/>
      <c r="B445" s="13"/>
      <c r="C445" s="14"/>
      <c r="D445" s="15"/>
      <c r="E445" s="15"/>
      <c r="F445" s="15"/>
      <c r="G445" s="15"/>
      <c r="H445" s="15"/>
      <c r="I445" s="15"/>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8"/>
      <c r="AL445" s="9"/>
      <c r="AM445" s="9"/>
      <c r="AN445" s="11"/>
      <c r="AO445" s="11"/>
      <c r="AP445" s="11"/>
      <c r="AQ445" s="11"/>
      <c r="AR445" s="11"/>
      <c r="AS445" s="11"/>
      <c r="AT445" s="11"/>
      <c r="AU445" s="11"/>
      <c r="AV445" s="11"/>
      <c r="AW445" s="11"/>
      <c r="AX445" s="11"/>
      <c r="AY445" s="11"/>
      <c r="AZ445" s="11"/>
    </row>
    <row r="446" ht="15.75" customHeight="1">
      <c r="A446" s="12"/>
      <c r="B446" s="13"/>
      <c r="C446" s="14"/>
      <c r="D446" s="15"/>
      <c r="E446" s="15"/>
      <c r="F446" s="15"/>
      <c r="G446" s="15"/>
      <c r="H446" s="15"/>
      <c r="I446" s="15"/>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8"/>
      <c r="AL446" s="9"/>
      <c r="AM446" s="9"/>
      <c r="AN446" s="11"/>
      <c r="AO446" s="11"/>
      <c r="AP446" s="11"/>
      <c r="AQ446" s="11"/>
      <c r="AR446" s="11"/>
      <c r="AS446" s="11"/>
      <c r="AT446" s="11"/>
      <c r="AU446" s="11"/>
      <c r="AV446" s="11"/>
      <c r="AW446" s="11"/>
      <c r="AX446" s="11"/>
      <c r="AY446" s="11"/>
      <c r="AZ446" s="11"/>
    </row>
    <row r="447" ht="15.75" customHeight="1">
      <c r="A447" s="12"/>
      <c r="B447" s="13"/>
      <c r="C447" s="14"/>
      <c r="D447" s="15"/>
      <c r="E447" s="15"/>
      <c r="F447" s="15"/>
      <c r="G447" s="15"/>
      <c r="H447" s="15"/>
      <c r="I447" s="15"/>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8"/>
      <c r="AL447" s="9"/>
      <c r="AM447" s="9"/>
      <c r="AN447" s="11"/>
      <c r="AO447" s="11"/>
      <c r="AP447" s="11"/>
      <c r="AQ447" s="11"/>
      <c r="AR447" s="11"/>
      <c r="AS447" s="11"/>
      <c r="AT447" s="11"/>
      <c r="AU447" s="11"/>
      <c r="AV447" s="11"/>
      <c r="AW447" s="11"/>
      <c r="AX447" s="11"/>
      <c r="AY447" s="11"/>
      <c r="AZ447" s="11"/>
    </row>
    <row r="448" ht="15.75" customHeight="1">
      <c r="A448" s="12"/>
      <c r="B448" s="13"/>
      <c r="C448" s="14"/>
      <c r="D448" s="15"/>
      <c r="E448" s="15"/>
      <c r="F448" s="15"/>
      <c r="G448" s="15"/>
      <c r="H448" s="15"/>
      <c r="I448" s="15"/>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8"/>
      <c r="AL448" s="9"/>
      <c r="AM448" s="9"/>
      <c r="AN448" s="11"/>
      <c r="AO448" s="11"/>
      <c r="AP448" s="11"/>
      <c r="AQ448" s="11"/>
      <c r="AR448" s="11"/>
      <c r="AS448" s="11"/>
      <c r="AT448" s="11"/>
      <c r="AU448" s="11"/>
      <c r="AV448" s="11"/>
      <c r="AW448" s="11"/>
      <c r="AX448" s="11"/>
      <c r="AY448" s="11"/>
      <c r="AZ448" s="11"/>
    </row>
    <row r="449" ht="15.75" customHeight="1">
      <c r="A449" s="12"/>
      <c r="B449" s="13"/>
      <c r="C449" s="14"/>
      <c r="D449" s="15"/>
      <c r="E449" s="15"/>
      <c r="F449" s="15"/>
      <c r="G449" s="15"/>
      <c r="H449" s="15"/>
      <c r="I449" s="15"/>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8"/>
      <c r="AL449" s="9"/>
      <c r="AM449" s="9"/>
      <c r="AN449" s="11"/>
      <c r="AO449" s="11"/>
      <c r="AP449" s="11"/>
      <c r="AQ449" s="11"/>
      <c r="AR449" s="11"/>
      <c r="AS449" s="11"/>
      <c r="AT449" s="11"/>
      <c r="AU449" s="11"/>
      <c r="AV449" s="11"/>
      <c r="AW449" s="11"/>
      <c r="AX449" s="11"/>
      <c r="AY449" s="11"/>
      <c r="AZ449" s="11"/>
    </row>
    <row r="450" ht="15.75" customHeight="1">
      <c r="A450" s="12"/>
      <c r="B450" s="13"/>
      <c r="C450" s="14"/>
      <c r="D450" s="15"/>
      <c r="E450" s="15"/>
      <c r="F450" s="15"/>
      <c r="G450" s="15"/>
      <c r="H450" s="15"/>
      <c r="I450" s="15"/>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8"/>
      <c r="AL450" s="9"/>
      <c r="AM450" s="9"/>
      <c r="AN450" s="11"/>
      <c r="AO450" s="11"/>
      <c r="AP450" s="11"/>
      <c r="AQ450" s="11"/>
      <c r="AR450" s="11"/>
      <c r="AS450" s="11"/>
      <c r="AT450" s="11"/>
      <c r="AU450" s="11"/>
      <c r="AV450" s="11"/>
      <c r="AW450" s="11"/>
      <c r="AX450" s="11"/>
      <c r="AY450" s="11"/>
      <c r="AZ450" s="11"/>
    </row>
    <row r="451" ht="15.75" customHeight="1">
      <c r="A451" s="12"/>
      <c r="B451" s="13"/>
      <c r="C451" s="14"/>
      <c r="D451" s="15"/>
      <c r="E451" s="15"/>
      <c r="F451" s="15"/>
      <c r="G451" s="15"/>
      <c r="H451" s="15"/>
      <c r="I451" s="15"/>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8"/>
      <c r="AL451" s="9"/>
      <c r="AM451" s="9"/>
      <c r="AN451" s="11"/>
      <c r="AO451" s="11"/>
      <c r="AP451" s="11"/>
      <c r="AQ451" s="11"/>
      <c r="AR451" s="11"/>
      <c r="AS451" s="11"/>
      <c r="AT451" s="11"/>
      <c r="AU451" s="11"/>
      <c r="AV451" s="11"/>
      <c r="AW451" s="11"/>
      <c r="AX451" s="11"/>
      <c r="AY451" s="11"/>
      <c r="AZ451" s="11"/>
    </row>
    <row r="452" ht="15.75" customHeight="1">
      <c r="A452" s="12"/>
      <c r="B452" s="13"/>
      <c r="C452" s="14"/>
      <c r="D452" s="15"/>
      <c r="E452" s="15"/>
      <c r="F452" s="15"/>
      <c r="G452" s="15"/>
      <c r="H452" s="15"/>
      <c r="I452" s="15"/>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8"/>
      <c r="AL452" s="9"/>
      <c r="AM452" s="9"/>
      <c r="AN452" s="11"/>
      <c r="AO452" s="11"/>
      <c r="AP452" s="11"/>
      <c r="AQ452" s="11"/>
      <c r="AR452" s="11"/>
      <c r="AS452" s="11"/>
      <c r="AT452" s="11"/>
      <c r="AU452" s="11"/>
      <c r="AV452" s="11"/>
      <c r="AW452" s="11"/>
      <c r="AX452" s="11"/>
      <c r="AY452" s="11"/>
      <c r="AZ452" s="11"/>
    </row>
    <row r="453" ht="15.75" customHeight="1">
      <c r="A453" s="12"/>
      <c r="B453" s="13"/>
      <c r="C453" s="14"/>
      <c r="D453" s="15"/>
      <c r="E453" s="15"/>
      <c r="F453" s="15"/>
      <c r="G453" s="15"/>
      <c r="H453" s="15"/>
      <c r="I453" s="15"/>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8"/>
      <c r="AL453" s="9"/>
      <c r="AM453" s="9"/>
      <c r="AN453" s="11"/>
      <c r="AO453" s="11"/>
      <c r="AP453" s="11"/>
      <c r="AQ453" s="11"/>
      <c r="AR453" s="11"/>
      <c r="AS453" s="11"/>
      <c r="AT453" s="11"/>
      <c r="AU453" s="11"/>
      <c r="AV453" s="11"/>
      <c r="AW453" s="11"/>
      <c r="AX453" s="11"/>
      <c r="AY453" s="11"/>
      <c r="AZ453" s="11"/>
    </row>
    <row r="454" ht="15.75" customHeight="1">
      <c r="A454" s="12"/>
      <c r="B454" s="13"/>
      <c r="C454" s="14"/>
      <c r="D454" s="15"/>
      <c r="E454" s="15"/>
      <c r="F454" s="15"/>
      <c r="G454" s="15"/>
      <c r="H454" s="15"/>
      <c r="I454" s="15"/>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8"/>
      <c r="AL454" s="9"/>
      <c r="AM454" s="9"/>
      <c r="AN454" s="11"/>
      <c r="AO454" s="11"/>
      <c r="AP454" s="11"/>
      <c r="AQ454" s="11"/>
      <c r="AR454" s="11"/>
      <c r="AS454" s="11"/>
      <c r="AT454" s="11"/>
      <c r="AU454" s="11"/>
      <c r="AV454" s="11"/>
      <c r="AW454" s="11"/>
      <c r="AX454" s="11"/>
      <c r="AY454" s="11"/>
      <c r="AZ454" s="11"/>
    </row>
    <row r="455" ht="15.75" customHeight="1">
      <c r="A455" s="12"/>
      <c r="B455" s="13"/>
      <c r="C455" s="14"/>
      <c r="D455" s="15"/>
      <c r="E455" s="15"/>
      <c r="F455" s="15"/>
      <c r="G455" s="15"/>
      <c r="H455" s="15"/>
      <c r="I455" s="15"/>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8"/>
      <c r="AL455" s="9"/>
      <c r="AM455" s="9"/>
      <c r="AN455" s="11"/>
      <c r="AO455" s="11"/>
      <c r="AP455" s="11"/>
      <c r="AQ455" s="11"/>
      <c r="AR455" s="11"/>
      <c r="AS455" s="11"/>
      <c r="AT455" s="11"/>
      <c r="AU455" s="11"/>
      <c r="AV455" s="11"/>
      <c r="AW455" s="11"/>
      <c r="AX455" s="11"/>
      <c r="AY455" s="11"/>
      <c r="AZ455" s="11"/>
    </row>
    <row r="456" ht="15.75" customHeight="1">
      <c r="A456" s="12"/>
      <c r="B456" s="13"/>
      <c r="C456" s="14"/>
      <c r="D456" s="15"/>
      <c r="E456" s="15"/>
      <c r="F456" s="15"/>
      <c r="G456" s="15"/>
      <c r="H456" s="15"/>
      <c r="I456" s="15"/>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8"/>
      <c r="AL456" s="9"/>
      <c r="AM456" s="9"/>
      <c r="AN456" s="11"/>
      <c r="AO456" s="11"/>
      <c r="AP456" s="11"/>
      <c r="AQ456" s="11"/>
      <c r="AR456" s="11"/>
      <c r="AS456" s="11"/>
      <c r="AT456" s="11"/>
      <c r="AU456" s="11"/>
      <c r="AV456" s="11"/>
      <c r="AW456" s="11"/>
      <c r="AX456" s="11"/>
      <c r="AY456" s="11"/>
      <c r="AZ456" s="11"/>
    </row>
    <row r="457" ht="15.75" customHeight="1">
      <c r="A457" s="12"/>
      <c r="B457" s="13"/>
      <c r="C457" s="14"/>
      <c r="D457" s="15"/>
      <c r="E457" s="15"/>
      <c r="F457" s="15"/>
      <c r="G457" s="15"/>
      <c r="H457" s="15"/>
      <c r="I457" s="15"/>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8"/>
      <c r="AL457" s="9"/>
      <c r="AM457" s="9"/>
      <c r="AN457" s="11"/>
      <c r="AO457" s="11"/>
      <c r="AP457" s="11"/>
      <c r="AQ457" s="11"/>
      <c r="AR457" s="11"/>
      <c r="AS457" s="11"/>
      <c r="AT457" s="11"/>
      <c r="AU457" s="11"/>
      <c r="AV457" s="11"/>
      <c r="AW457" s="11"/>
      <c r="AX457" s="11"/>
      <c r="AY457" s="11"/>
      <c r="AZ457" s="11"/>
    </row>
    <row r="458" ht="15.75" customHeight="1">
      <c r="A458" s="12"/>
      <c r="B458" s="13"/>
      <c r="C458" s="14"/>
      <c r="D458" s="15"/>
      <c r="E458" s="15"/>
      <c r="F458" s="15"/>
      <c r="G458" s="15"/>
      <c r="H458" s="15"/>
      <c r="I458" s="15"/>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8"/>
      <c r="AL458" s="9"/>
      <c r="AM458" s="9"/>
      <c r="AN458" s="11"/>
      <c r="AO458" s="11"/>
      <c r="AP458" s="11"/>
      <c r="AQ458" s="11"/>
      <c r="AR458" s="11"/>
      <c r="AS458" s="11"/>
      <c r="AT458" s="11"/>
      <c r="AU458" s="11"/>
      <c r="AV458" s="11"/>
      <c r="AW458" s="11"/>
      <c r="AX458" s="11"/>
      <c r="AY458" s="11"/>
      <c r="AZ458" s="11"/>
    </row>
    <row r="459" ht="15.75" customHeight="1">
      <c r="A459" s="12"/>
      <c r="B459" s="13"/>
      <c r="C459" s="14"/>
      <c r="D459" s="15"/>
      <c r="E459" s="15"/>
      <c r="F459" s="15"/>
      <c r="G459" s="15"/>
      <c r="H459" s="15"/>
      <c r="I459" s="15"/>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8"/>
      <c r="AL459" s="9"/>
      <c r="AM459" s="9"/>
      <c r="AN459" s="11"/>
      <c r="AO459" s="11"/>
      <c r="AP459" s="11"/>
      <c r="AQ459" s="11"/>
      <c r="AR459" s="11"/>
      <c r="AS459" s="11"/>
      <c r="AT459" s="11"/>
      <c r="AU459" s="11"/>
      <c r="AV459" s="11"/>
      <c r="AW459" s="11"/>
      <c r="AX459" s="11"/>
      <c r="AY459" s="11"/>
      <c r="AZ459" s="11"/>
    </row>
    <row r="460" ht="15.75" customHeight="1">
      <c r="A460" s="12"/>
      <c r="B460" s="13"/>
      <c r="C460" s="14"/>
      <c r="D460" s="15"/>
      <c r="E460" s="15"/>
      <c r="F460" s="15"/>
      <c r="G460" s="15"/>
      <c r="H460" s="15"/>
      <c r="I460" s="15"/>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8"/>
      <c r="AL460" s="9"/>
      <c r="AM460" s="9"/>
      <c r="AN460" s="11"/>
      <c r="AO460" s="11"/>
      <c r="AP460" s="11"/>
      <c r="AQ460" s="11"/>
      <c r="AR460" s="11"/>
      <c r="AS460" s="11"/>
      <c r="AT460" s="11"/>
      <c r="AU460" s="11"/>
      <c r="AV460" s="11"/>
      <c r="AW460" s="11"/>
      <c r="AX460" s="11"/>
      <c r="AY460" s="11"/>
      <c r="AZ460" s="11"/>
    </row>
    <row r="461" ht="15.75" customHeight="1">
      <c r="A461" s="12"/>
      <c r="B461" s="13"/>
      <c r="C461" s="14"/>
      <c r="D461" s="15"/>
      <c r="E461" s="15"/>
      <c r="F461" s="15"/>
      <c r="G461" s="15"/>
      <c r="H461" s="15"/>
      <c r="I461" s="15"/>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8"/>
      <c r="AL461" s="9"/>
      <c r="AM461" s="9"/>
      <c r="AN461" s="11"/>
      <c r="AO461" s="11"/>
      <c r="AP461" s="11"/>
      <c r="AQ461" s="11"/>
      <c r="AR461" s="11"/>
      <c r="AS461" s="11"/>
      <c r="AT461" s="11"/>
      <c r="AU461" s="11"/>
      <c r="AV461" s="11"/>
      <c r="AW461" s="11"/>
      <c r="AX461" s="11"/>
      <c r="AY461" s="11"/>
      <c r="AZ461" s="11"/>
    </row>
    <row r="462" ht="15.75" customHeight="1">
      <c r="A462" s="12"/>
      <c r="B462" s="13"/>
      <c r="C462" s="14"/>
      <c r="D462" s="15"/>
      <c r="E462" s="15"/>
      <c r="F462" s="15"/>
      <c r="G462" s="15"/>
      <c r="H462" s="15"/>
      <c r="I462" s="15"/>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8"/>
      <c r="AL462" s="9"/>
      <c r="AM462" s="9"/>
      <c r="AN462" s="11"/>
      <c r="AO462" s="11"/>
      <c r="AP462" s="11"/>
      <c r="AQ462" s="11"/>
      <c r="AR462" s="11"/>
      <c r="AS462" s="11"/>
      <c r="AT462" s="11"/>
      <c r="AU462" s="11"/>
      <c r="AV462" s="11"/>
      <c r="AW462" s="11"/>
      <c r="AX462" s="11"/>
      <c r="AY462" s="11"/>
      <c r="AZ462" s="11"/>
    </row>
    <row r="463" ht="15.75" customHeight="1">
      <c r="A463" s="12"/>
      <c r="B463" s="13"/>
      <c r="C463" s="14"/>
      <c r="D463" s="15"/>
      <c r="E463" s="15"/>
      <c r="F463" s="15"/>
      <c r="G463" s="15"/>
      <c r="H463" s="15"/>
      <c r="I463" s="15"/>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8"/>
      <c r="AL463" s="9"/>
      <c r="AM463" s="9"/>
      <c r="AN463" s="11"/>
      <c r="AO463" s="11"/>
      <c r="AP463" s="11"/>
      <c r="AQ463" s="11"/>
      <c r="AR463" s="11"/>
      <c r="AS463" s="11"/>
      <c r="AT463" s="11"/>
      <c r="AU463" s="11"/>
      <c r="AV463" s="11"/>
      <c r="AW463" s="11"/>
      <c r="AX463" s="11"/>
      <c r="AY463" s="11"/>
      <c r="AZ463" s="11"/>
    </row>
    <row r="464" ht="15.75" customHeight="1">
      <c r="A464" s="12"/>
      <c r="B464" s="13"/>
      <c r="C464" s="14"/>
      <c r="D464" s="15"/>
      <c r="E464" s="15"/>
      <c r="F464" s="15"/>
      <c r="G464" s="15"/>
      <c r="H464" s="15"/>
      <c r="I464" s="15"/>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8"/>
      <c r="AL464" s="9"/>
      <c r="AM464" s="9"/>
      <c r="AN464" s="11"/>
      <c r="AO464" s="11"/>
      <c r="AP464" s="11"/>
      <c r="AQ464" s="11"/>
      <c r="AR464" s="11"/>
      <c r="AS464" s="11"/>
      <c r="AT464" s="11"/>
      <c r="AU464" s="11"/>
      <c r="AV464" s="11"/>
      <c r="AW464" s="11"/>
      <c r="AX464" s="11"/>
      <c r="AY464" s="11"/>
      <c r="AZ464" s="11"/>
    </row>
    <row r="465" ht="15.75" customHeight="1">
      <c r="A465" s="12"/>
      <c r="B465" s="13"/>
      <c r="C465" s="14"/>
      <c r="D465" s="15"/>
      <c r="E465" s="15"/>
      <c r="F465" s="15"/>
      <c r="G465" s="15"/>
      <c r="H465" s="15"/>
      <c r="I465" s="15"/>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8"/>
      <c r="AL465" s="9"/>
      <c r="AM465" s="9"/>
      <c r="AN465" s="11"/>
      <c r="AO465" s="11"/>
      <c r="AP465" s="11"/>
      <c r="AQ465" s="11"/>
      <c r="AR465" s="11"/>
      <c r="AS465" s="11"/>
      <c r="AT465" s="11"/>
      <c r="AU465" s="11"/>
      <c r="AV465" s="11"/>
      <c r="AW465" s="11"/>
      <c r="AX465" s="11"/>
      <c r="AY465" s="11"/>
      <c r="AZ465" s="11"/>
    </row>
    <row r="466" ht="15.75" customHeight="1">
      <c r="A466" s="12"/>
      <c r="B466" s="13"/>
      <c r="C466" s="14"/>
      <c r="D466" s="15"/>
      <c r="E466" s="15"/>
      <c r="F466" s="15"/>
      <c r="G466" s="15"/>
      <c r="H466" s="15"/>
      <c r="I466" s="15"/>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8"/>
      <c r="AL466" s="9"/>
      <c r="AM466" s="9"/>
      <c r="AN466" s="11"/>
      <c r="AO466" s="11"/>
      <c r="AP466" s="11"/>
      <c r="AQ466" s="11"/>
      <c r="AR466" s="11"/>
      <c r="AS466" s="11"/>
      <c r="AT466" s="11"/>
      <c r="AU466" s="11"/>
      <c r="AV466" s="11"/>
      <c r="AW466" s="11"/>
      <c r="AX466" s="11"/>
      <c r="AY466" s="11"/>
      <c r="AZ466" s="11"/>
    </row>
    <row r="467" ht="15.75" customHeight="1">
      <c r="A467" s="12"/>
      <c r="B467" s="13"/>
      <c r="C467" s="14"/>
      <c r="D467" s="15"/>
      <c r="E467" s="15"/>
      <c r="F467" s="15"/>
      <c r="G467" s="15"/>
      <c r="H467" s="15"/>
      <c r="I467" s="15"/>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8"/>
      <c r="AL467" s="9"/>
      <c r="AM467" s="9"/>
      <c r="AN467" s="11"/>
      <c r="AO467" s="11"/>
      <c r="AP467" s="11"/>
      <c r="AQ467" s="11"/>
      <c r="AR467" s="11"/>
      <c r="AS467" s="11"/>
      <c r="AT467" s="11"/>
      <c r="AU467" s="11"/>
      <c r="AV467" s="11"/>
      <c r="AW467" s="11"/>
      <c r="AX467" s="11"/>
      <c r="AY467" s="11"/>
      <c r="AZ467" s="11"/>
    </row>
    <row r="468" ht="15.75" customHeight="1">
      <c r="A468" s="12"/>
      <c r="B468" s="13"/>
      <c r="C468" s="14"/>
      <c r="D468" s="15"/>
      <c r="E468" s="15"/>
      <c r="F468" s="15"/>
      <c r="G468" s="15"/>
      <c r="H468" s="15"/>
      <c r="I468" s="15"/>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8"/>
      <c r="AL468" s="9"/>
      <c r="AM468" s="9"/>
      <c r="AN468" s="11"/>
      <c r="AO468" s="11"/>
      <c r="AP468" s="11"/>
      <c r="AQ468" s="11"/>
      <c r="AR468" s="11"/>
      <c r="AS468" s="11"/>
      <c r="AT468" s="11"/>
      <c r="AU468" s="11"/>
      <c r="AV468" s="11"/>
      <c r="AW468" s="11"/>
      <c r="AX468" s="11"/>
      <c r="AY468" s="11"/>
      <c r="AZ468" s="11"/>
    </row>
    <row r="469" ht="15.75" customHeight="1">
      <c r="A469" s="12"/>
      <c r="B469" s="13"/>
      <c r="C469" s="14"/>
      <c r="D469" s="15"/>
      <c r="E469" s="15"/>
      <c r="F469" s="15"/>
      <c r="G469" s="15"/>
      <c r="H469" s="15"/>
      <c r="I469" s="15"/>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8"/>
      <c r="AL469" s="9"/>
      <c r="AM469" s="9"/>
      <c r="AN469" s="11"/>
      <c r="AO469" s="11"/>
      <c r="AP469" s="11"/>
      <c r="AQ469" s="11"/>
      <c r="AR469" s="11"/>
      <c r="AS469" s="11"/>
      <c r="AT469" s="11"/>
      <c r="AU469" s="11"/>
      <c r="AV469" s="11"/>
      <c r="AW469" s="11"/>
      <c r="AX469" s="11"/>
      <c r="AY469" s="11"/>
      <c r="AZ469" s="11"/>
    </row>
    <row r="470" ht="15.75" customHeight="1">
      <c r="A470" s="12"/>
      <c r="B470" s="13"/>
      <c r="C470" s="14"/>
      <c r="D470" s="15"/>
      <c r="E470" s="15"/>
      <c r="F470" s="15"/>
      <c r="G470" s="15"/>
      <c r="H470" s="15"/>
      <c r="I470" s="15"/>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8"/>
      <c r="AL470" s="9"/>
      <c r="AM470" s="9"/>
      <c r="AN470" s="11"/>
      <c r="AO470" s="11"/>
      <c r="AP470" s="11"/>
      <c r="AQ470" s="11"/>
      <c r="AR470" s="11"/>
      <c r="AS470" s="11"/>
      <c r="AT470" s="11"/>
      <c r="AU470" s="11"/>
      <c r="AV470" s="11"/>
      <c r="AW470" s="11"/>
      <c r="AX470" s="11"/>
      <c r="AY470" s="11"/>
      <c r="AZ470" s="11"/>
    </row>
    <row r="471" ht="15.75" customHeight="1">
      <c r="A471" s="12"/>
      <c r="B471" s="13"/>
      <c r="C471" s="14"/>
      <c r="D471" s="15"/>
      <c r="E471" s="15"/>
      <c r="F471" s="15"/>
      <c r="G471" s="15"/>
      <c r="H471" s="15"/>
      <c r="I471" s="15"/>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8"/>
      <c r="AL471" s="9"/>
      <c r="AM471" s="9"/>
      <c r="AN471" s="11"/>
      <c r="AO471" s="11"/>
      <c r="AP471" s="11"/>
      <c r="AQ471" s="11"/>
      <c r="AR471" s="11"/>
      <c r="AS471" s="11"/>
      <c r="AT471" s="11"/>
      <c r="AU471" s="11"/>
      <c r="AV471" s="11"/>
      <c r="AW471" s="11"/>
      <c r="AX471" s="11"/>
      <c r="AY471" s="11"/>
      <c r="AZ471" s="11"/>
    </row>
    <row r="472" ht="15.75" customHeight="1">
      <c r="A472" s="12"/>
      <c r="B472" s="13"/>
      <c r="C472" s="14"/>
      <c r="D472" s="15"/>
      <c r="E472" s="15"/>
      <c r="F472" s="15"/>
      <c r="G472" s="15"/>
      <c r="H472" s="15"/>
      <c r="I472" s="15"/>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8"/>
      <c r="AL472" s="9"/>
      <c r="AM472" s="9"/>
      <c r="AN472" s="11"/>
      <c r="AO472" s="11"/>
      <c r="AP472" s="11"/>
      <c r="AQ472" s="11"/>
      <c r="AR472" s="11"/>
      <c r="AS472" s="11"/>
      <c r="AT472" s="11"/>
      <c r="AU472" s="11"/>
      <c r="AV472" s="11"/>
      <c r="AW472" s="11"/>
      <c r="AX472" s="11"/>
      <c r="AY472" s="11"/>
      <c r="AZ472" s="11"/>
    </row>
    <row r="473" ht="15.75" customHeight="1">
      <c r="A473" s="12"/>
      <c r="B473" s="13"/>
      <c r="C473" s="14"/>
      <c r="D473" s="15"/>
      <c r="E473" s="15"/>
      <c r="F473" s="15"/>
      <c r="G473" s="15"/>
      <c r="H473" s="15"/>
      <c r="I473" s="15"/>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8"/>
      <c r="AL473" s="9"/>
      <c r="AM473" s="9"/>
      <c r="AN473" s="11"/>
      <c r="AO473" s="11"/>
      <c r="AP473" s="11"/>
      <c r="AQ473" s="11"/>
      <c r="AR473" s="11"/>
      <c r="AS473" s="11"/>
      <c r="AT473" s="11"/>
      <c r="AU473" s="11"/>
      <c r="AV473" s="11"/>
      <c r="AW473" s="11"/>
      <c r="AX473" s="11"/>
      <c r="AY473" s="11"/>
      <c r="AZ473" s="11"/>
    </row>
    <row r="474" ht="15.75" customHeight="1">
      <c r="A474" s="12"/>
      <c r="B474" s="13"/>
      <c r="C474" s="14"/>
      <c r="D474" s="15"/>
      <c r="E474" s="15"/>
      <c r="F474" s="15"/>
      <c r="G474" s="15"/>
      <c r="H474" s="15"/>
      <c r="I474" s="15"/>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8"/>
      <c r="AL474" s="9"/>
      <c r="AM474" s="9"/>
      <c r="AN474" s="11"/>
      <c r="AO474" s="11"/>
      <c r="AP474" s="11"/>
      <c r="AQ474" s="11"/>
      <c r="AR474" s="11"/>
      <c r="AS474" s="11"/>
      <c r="AT474" s="11"/>
      <c r="AU474" s="11"/>
      <c r="AV474" s="11"/>
      <c r="AW474" s="11"/>
      <c r="AX474" s="11"/>
      <c r="AY474" s="11"/>
      <c r="AZ474" s="11"/>
    </row>
    <row r="475" ht="15.75" customHeight="1">
      <c r="A475" s="12"/>
      <c r="B475" s="13"/>
      <c r="C475" s="14"/>
      <c r="D475" s="15"/>
      <c r="E475" s="15"/>
      <c r="F475" s="15"/>
      <c r="G475" s="15"/>
      <c r="H475" s="15"/>
      <c r="I475" s="15"/>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8"/>
      <c r="AL475" s="9"/>
      <c r="AM475" s="9"/>
      <c r="AN475" s="11"/>
      <c r="AO475" s="11"/>
      <c r="AP475" s="11"/>
      <c r="AQ475" s="11"/>
      <c r="AR475" s="11"/>
      <c r="AS475" s="11"/>
      <c r="AT475" s="11"/>
      <c r="AU475" s="11"/>
      <c r="AV475" s="11"/>
      <c r="AW475" s="11"/>
      <c r="AX475" s="11"/>
      <c r="AY475" s="11"/>
      <c r="AZ475" s="11"/>
    </row>
    <row r="476" ht="15.75" customHeight="1">
      <c r="A476" s="12"/>
      <c r="B476" s="13"/>
      <c r="C476" s="14"/>
      <c r="D476" s="15"/>
      <c r="E476" s="15"/>
      <c r="F476" s="15"/>
      <c r="G476" s="15"/>
      <c r="H476" s="15"/>
      <c r="I476" s="15"/>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8"/>
      <c r="AL476" s="9"/>
      <c r="AM476" s="9"/>
      <c r="AN476" s="11"/>
      <c r="AO476" s="11"/>
      <c r="AP476" s="11"/>
      <c r="AQ476" s="11"/>
      <c r="AR476" s="11"/>
      <c r="AS476" s="11"/>
      <c r="AT476" s="11"/>
      <c r="AU476" s="11"/>
      <c r="AV476" s="11"/>
      <c r="AW476" s="11"/>
      <c r="AX476" s="11"/>
      <c r="AY476" s="11"/>
      <c r="AZ476" s="11"/>
    </row>
    <row r="477" ht="15.75" customHeight="1">
      <c r="A477" s="12"/>
      <c r="B477" s="13"/>
      <c r="C477" s="14"/>
      <c r="D477" s="15"/>
      <c r="E477" s="15"/>
      <c r="F477" s="15"/>
      <c r="G477" s="15"/>
      <c r="H477" s="15"/>
      <c r="I477" s="15"/>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8"/>
      <c r="AL477" s="9"/>
      <c r="AM477" s="9"/>
      <c r="AN477" s="11"/>
      <c r="AO477" s="11"/>
      <c r="AP477" s="11"/>
      <c r="AQ477" s="11"/>
      <c r="AR477" s="11"/>
      <c r="AS477" s="11"/>
      <c r="AT477" s="11"/>
      <c r="AU477" s="11"/>
      <c r="AV477" s="11"/>
      <c r="AW477" s="11"/>
      <c r="AX477" s="11"/>
      <c r="AY477" s="11"/>
      <c r="AZ477" s="11"/>
    </row>
    <row r="478" ht="15.75" customHeight="1">
      <c r="A478" s="12"/>
      <c r="B478" s="13"/>
      <c r="C478" s="14"/>
      <c r="D478" s="15"/>
      <c r="E478" s="15"/>
      <c r="F478" s="15"/>
      <c r="G478" s="15"/>
      <c r="H478" s="15"/>
      <c r="I478" s="15"/>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8"/>
      <c r="AL478" s="9"/>
      <c r="AM478" s="9"/>
      <c r="AN478" s="11"/>
      <c r="AO478" s="11"/>
      <c r="AP478" s="11"/>
      <c r="AQ478" s="11"/>
      <c r="AR478" s="11"/>
      <c r="AS478" s="11"/>
      <c r="AT478" s="11"/>
      <c r="AU478" s="11"/>
      <c r="AV478" s="11"/>
      <c r="AW478" s="11"/>
      <c r="AX478" s="11"/>
      <c r="AY478" s="11"/>
      <c r="AZ478" s="11"/>
    </row>
    <row r="479" ht="15.75" customHeight="1">
      <c r="A479" s="12"/>
      <c r="B479" s="13"/>
      <c r="C479" s="14"/>
      <c r="D479" s="15"/>
      <c r="E479" s="15"/>
      <c r="F479" s="15"/>
      <c r="G479" s="15"/>
      <c r="H479" s="15"/>
      <c r="I479" s="15"/>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8"/>
      <c r="AL479" s="9"/>
      <c r="AM479" s="9"/>
      <c r="AN479" s="11"/>
      <c r="AO479" s="11"/>
      <c r="AP479" s="11"/>
      <c r="AQ479" s="11"/>
      <c r="AR479" s="11"/>
      <c r="AS479" s="11"/>
      <c r="AT479" s="11"/>
      <c r="AU479" s="11"/>
      <c r="AV479" s="11"/>
      <c r="AW479" s="11"/>
      <c r="AX479" s="11"/>
      <c r="AY479" s="11"/>
      <c r="AZ479" s="11"/>
    </row>
    <row r="480" ht="15.75" customHeight="1">
      <c r="A480" s="12"/>
      <c r="B480" s="13"/>
      <c r="C480" s="14"/>
      <c r="D480" s="15"/>
      <c r="E480" s="15"/>
      <c r="F480" s="15"/>
      <c r="G480" s="15"/>
      <c r="H480" s="15"/>
      <c r="I480" s="15"/>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8"/>
      <c r="AL480" s="9"/>
      <c r="AM480" s="9"/>
      <c r="AN480" s="11"/>
      <c r="AO480" s="11"/>
      <c r="AP480" s="11"/>
      <c r="AQ480" s="11"/>
      <c r="AR480" s="11"/>
      <c r="AS480" s="11"/>
      <c r="AT480" s="11"/>
      <c r="AU480" s="11"/>
      <c r="AV480" s="11"/>
      <c r="AW480" s="11"/>
      <c r="AX480" s="11"/>
      <c r="AY480" s="11"/>
      <c r="AZ480" s="11"/>
    </row>
    <row r="481" ht="15.75" customHeight="1">
      <c r="A481" s="12"/>
      <c r="B481" s="13"/>
      <c r="C481" s="14"/>
      <c r="D481" s="15"/>
      <c r="E481" s="15"/>
      <c r="F481" s="15"/>
      <c r="G481" s="15"/>
      <c r="H481" s="15"/>
      <c r="I481" s="15"/>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8"/>
      <c r="AL481" s="9"/>
      <c r="AM481" s="9"/>
      <c r="AN481" s="11"/>
      <c r="AO481" s="11"/>
      <c r="AP481" s="11"/>
      <c r="AQ481" s="11"/>
      <c r="AR481" s="11"/>
      <c r="AS481" s="11"/>
      <c r="AT481" s="11"/>
      <c r="AU481" s="11"/>
      <c r="AV481" s="11"/>
      <c r="AW481" s="11"/>
      <c r="AX481" s="11"/>
      <c r="AY481" s="11"/>
      <c r="AZ481" s="11"/>
    </row>
    <row r="482" ht="15.75" customHeight="1">
      <c r="A482" s="12"/>
      <c r="B482" s="13"/>
      <c r="C482" s="14"/>
      <c r="D482" s="15"/>
      <c r="E482" s="15"/>
      <c r="F482" s="15"/>
      <c r="G482" s="15"/>
      <c r="H482" s="15"/>
      <c r="I482" s="15"/>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8"/>
      <c r="AL482" s="9"/>
      <c r="AM482" s="9"/>
      <c r="AN482" s="11"/>
      <c r="AO482" s="11"/>
      <c r="AP482" s="11"/>
      <c r="AQ482" s="11"/>
      <c r="AR482" s="11"/>
      <c r="AS482" s="11"/>
      <c r="AT482" s="11"/>
      <c r="AU482" s="11"/>
      <c r="AV482" s="11"/>
      <c r="AW482" s="11"/>
      <c r="AX482" s="11"/>
      <c r="AY482" s="11"/>
      <c r="AZ482" s="11"/>
    </row>
    <row r="483" ht="15.75" customHeight="1">
      <c r="A483" s="12"/>
      <c r="B483" s="13"/>
      <c r="C483" s="14"/>
      <c r="D483" s="15"/>
      <c r="E483" s="15"/>
      <c r="F483" s="15"/>
      <c r="G483" s="15"/>
      <c r="H483" s="15"/>
      <c r="I483" s="15"/>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8"/>
      <c r="AL483" s="9"/>
      <c r="AM483" s="9"/>
      <c r="AN483" s="11"/>
      <c r="AO483" s="11"/>
      <c r="AP483" s="11"/>
      <c r="AQ483" s="11"/>
      <c r="AR483" s="11"/>
      <c r="AS483" s="11"/>
      <c r="AT483" s="11"/>
      <c r="AU483" s="11"/>
      <c r="AV483" s="11"/>
      <c r="AW483" s="11"/>
      <c r="AX483" s="11"/>
      <c r="AY483" s="11"/>
      <c r="AZ483" s="11"/>
    </row>
    <row r="484" ht="15.75" customHeight="1">
      <c r="A484" s="12"/>
      <c r="B484" s="13"/>
      <c r="C484" s="14"/>
      <c r="D484" s="15"/>
      <c r="E484" s="15"/>
      <c r="F484" s="15"/>
      <c r="G484" s="15"/>
      <c r="H484" s="15"/>
      <c r="I484" s="15"/>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8"/>
      <c r="AL484" s="9"/>
      <c r="AM484" s="9"/>
      <c r="AN484" s="11"/>
      <c r="AO484" s="11"/>
      <c r="AP484" s="11"/>
      <c r="AQ484" s="11"/>
      <c r="AR484" s="11"/>
      <c r="AS484" s="11"/>
      <c r="AT484" s="11"/>
      <c r="AU484" s="11"/>
      <c r="AV484" s="11"/>
      <c r="AW484" s="11"/>
      <c r="AX484" s="11"/>
      <c r="AY484" s="11"/>
      <c r="AZ484" s="11"/>
    </row>
    <row r="485" ht="15.75" customHeight="1">
      <c r="A485" s="12"/>
      <c r="B485" s="13"/>
      <c r="C485" s="14"/>
      <c r="D485" s="15"/>
      <c r="E485" s="15"/>
      <c r="F485" s="15"/>
      <c r="G485" s="15"/>
      <c r="H485" s="15"/>
      <c r="I485" s="15"/>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8"/>
      <c r="AL485" s="9"/>
      <c r="AM485" s="9"/>
      <c r="AN485" s="11"/>
      <c r="AO485" s="11"/>
      <c r="AP485" s="11"/>
      <c r="AQ485" s="11"/>
      <c r="AR485" s="11"/>
      <c r="AS485" s="11"/>
      <c r="AT485" s="11"/>
      <c r="AU485" s="11"/>
      <c r="AV485" s="11"/>
      <c r="AW485" s="11"/>
      <c r="AX485" s="11"/>
      <c r="AY485" s="11"/>
      <c r="AZ485" s="11"/>
    </row>
    <row r="486" ht="15.75" customHeight="1">
      <c r="A486" s="12"/>
      <c r="B486" s="13"/>
      <c r="C486" s="14"/>
      <c r="D486" s="15"/>
      <c r="E486" s="15"/>
      <c r="F486" s="15"/>
      <c r="G486" s="15"/>
      <c r="H486" s="15"/>
      <c r="I486" s="15"/>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8"/>
      <c r="AL486" s="9"/>
      <c r="AM486" s="9"/>
      <c r="AN486" s="11"/>
      <c r="AO486" s="11"/>
      <c r="AP486" s="11"/>
      <c r="AQ486" s="11"/>
      <c r="AR486" s="11"/>
      <c r="AS486" s="11"/>
      <c r="AT486" s="11"/>
      <c r="AU486" s="11"/>
      <c r="AV486" s="11"/>
      <c r="AW486" s="11"/>
      <c r="AX486" s="11"/>
      <c r="AY486" s="11"/>
      <c r="AZ486" s="11"/>
    </row>
    <row r="487" ht="15.75" customHeight="1">
      <c r="A487" s="12"/>
      <c r="B487" s="13"/>
      <c r="C487" s="14"/>
      <c r="D487" s="15"/>
      <c r="E487" s="15"/>
      <c r="F487" s="15"/>
      <c r="G487" s="15"/>
      <c r="H487" s="15"/>
      <c r="I487" s="15"/>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8"/>
      <c r="AL487" s="9"/>
      <c r="AM487" s="9"/>
      <c r="AN487" s="11"/>
      <c r="AO487" s="11"/>
      <c r="AP487" s="11"/>
      <c r="AQ487" s="11"/>
      <c r="AR487" s="11"/>
      <c r="AS487" s="11"/>
      <c r="AT487" s="11"/>
      <c r="AU487" s="11"/>
      <c r="AV487" s="11"/>
      <c r="AW487" s="11"/>
      <c r="AX487" s="11"/>
      <c r="AY487" s="11"/>
      <c r="AZ487" s="11"/>
    </row>
    <row r="488" ht="15.75" customHeight="1">
      <c r="A488" s="12"/>
      <c r="B488" s="13"/>
      <c r="C488" s="14"/>
      <c r="D488" s="15"/>
      <c r="E488" s="15"/>
      <c r="F488" s="15"/>
      <c r="G488" s="15"/>
      <c r="H488" s="15"/>
      <c r="I488" s="15"/>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8"/>
      <c r="AL488" s="9"/>
      <c r="AM488" s="9"/>
      <c r="AN488" s="11"/>
      <c r="AO488" s="11"/>
      <c r="AP488" s="11"/>
      <c r="AQ488" s="11"/>
      <c r="AR488" s="11"/>
      <c r="AS488" s="11"/>
      <c r="AT488" s="11"/>
      <c r="AU488" s="11"/>
      <c r="AV488" s="11"/>
      <c r="AW488" s="11"/>
      <c r="AX488" s="11"/>
      <c r="AY488" s="11"/>
      <c r="AZ488" s="11"/>
    </row>
    <row r="489" ht="15.75" customHeight="1">
      <c r="A489" s="12"/>
      <c r="B489" s="13"/>
      <c r="C489" s="14"/>
      <c r="D489" s="15"/>
      <c r="E489" s="15"/>
      <c r="F489" s="15"/>
      <c r="G489" s="15"/>
      <c r="H489" s="15"/>
      <c r="I489" s="15"/>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8"/>
      <c r="AL489" s="9"/>
      <c r="AM489" s="9"/>
      <c r="AN489" s="11"/>
      <c r="AO489" s="11"/>
      <c r="AP489" s="11"/>
      <c r="AQ489" s="11"/>
      <c r="AR489" s="11"/>
      <c r="AS489" s="11"/>
      <c r="AT489" s="11"/>
      <c r="AU489" s="11"/>
      <c r="AV489" s="11"/>
      <c r="AW489" s="11"/>
      <c r="AX489" s="11"/>
      <c r="AY489" s="11"/>
      <c r="AZ489" s="11"/>
    </row>
    <row r="490" ht="15.75" customHeight="1">
      <c r="A490" s="12"/>
      <c r="B490" s="13"/>
      <c r="C490" s="14"/>
      <c r="D490" s="15"/>
      <c r="E490" s="15"/>
      <c r="F490" s="15"/>
      <c r="G490" s="15"/>
      <c r="H490" s="15"/>
      <c r="I490" s="15"/>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8"/>
      <c r="AL490" s="9"/>
      <c r="AM490" s="9"/>
      <c r="AN490" s="11"/>
      <c r="AO490" s="11"/>
      <c r="AP490" s="11"/>
      <c r="AQ490" s="11"/>
      <c r="AR490" s="11"/>
      <c r="AS490" s="11"/>
      <c r="AT490" s="11"/>
      <c r="AU490" s="11"/>
      <c r="AV490" s="11"/>
      <c r="AW490" s="11"/>
      <c r="AX490" s="11"/>
      <c r="AY490" s="11"/>
      <c r="AZ490" s="11"/>
    </row>
    <row r="491" ht="15.75" customHeight="1">
      <c r="A491" s="12"/>
      <c r="B491" s="13"/>
      <c r="C491" s="14"/>
      <c r="D491" s="15"/>
      <c r="E491" s="15"/>
      <c r="F491" s="15"/>
      <c r="G491" s="15"/>
      <c r="H491" s="15"/>
      <c r="I491" s="15"/>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8"/>
      <c r="AL491" s="9"/>
      <c r="AM491" s="9"/>
      <c r="AN491" s="11"/>
      <c r="AO491" s="11"/>
      <c r="AP491" s="11"/>
      <c r="AQ491" s="11"/>
      <c r="AR491" s="11"/>
      <c r="AS491" s="11"/>
      <c r="AT491" s="11"/>
      <c r="AU491" s="11"/>
      <c r="AV491" s="11"/>
      <c r="AW491" s="11"/>
      <c r="AX491" s="11"/>
      <c r="AY491" s="11"/>
      <c r="AZ491" s="11"/>
    </row>
    <row r="492" ht="15.75" customHeight="1">
      <c r="A492" s="12"/>
      <c r="B492" s="13"/>
      <c r="C492" s="14"/>
      <c r="D492" s="15"/>
      <c r="E492" s="15"/>
      <c r="F492" s="15"/>
      <c r="G492" s="15"/>
      <c r="H492" s="15"/>
      <c r="I492" s="15"/>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8"/>
      <c r="AL492" s="9"/>
      <c r="AM492" s="9"/>
      <c r="AN492" s="11"/>
      <c r="AO492" s="11"/>
      <c r="AP492" s="11"/>
      <c r="AQ492" s="11"/>
      <c r="AR492" s="11"/>
      <c r="AS492" s="11"/>
      <c r="AT492" s="11"/>
      <c r="AU492" s="11"/>
      <c r="AV492" s="11"/>
      <c r="AW492" s="11"/>
      <c r="AX492" s="11"/>
      <c r="AY492" s="11"/>
      <c r="AZ492" s="11"/>
    </row>
    <row r="493" ht="15.75" customHeight="1">
      <c r="A493" s="12"/>
      <c r="B493" s="13"/>
      <c r="C493" s="14"/>
      <c r="D493" s="15"/>
      <c r="E493" s="15"/>
      <c r="F493" s="15"/>
      <c r="G493" s="15"/>
      <c r="H493" s="15"/>
      <c r="I493" s="15"/>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8"/>
      <c r="AL493" s="9"/>
      <c r="AM493" s="9"/>
      <c r="AN493" s="11"/>
      <c r="AO493" s="11"/>
      <c r="AP493" s="11"/>
      <c r="AQ493" s="11"/>
      <c r="AR493" s="11"/>
      <c r="AS493" s="11"/>
      <c r="AT493" s="11"/>
      <c r="AU493" s="11"/>
      <c r="AV493" s="11"/>
      <c r="AW493" s="11"/>
      <c r="AX493" s="11"/>
      <c r="AY493" s="11"/>
      <c r="AZ493" s="11"/>
    </row>
    <row r="494" ht="15.75" customHeight="1">
      <c r="A494" s="12"/>
      <c r="B494" s="13"/>
      <c r="C494" s="14"/>
      <c r="D494" s="15"/>
      <c r="E494" s="15"/>
      <c r="F494" s="15"/>
      <c r="G494" s="15"/>
      <c r="H494" s="15"/>
      <c r="I494" s="15"/>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8"/>
      <c r="AL494" s="9"/>
      <c r="AM494" s="9"/>
      <c r="AN494" s="11"/>
      <c r="AO494" s="11"/>
      <c r="AP494" s="11"/>
      <c r="AQ494" s="11"/>
      <c r="AR494" s="11"/>
      <c r="AS494" s="11"/>
      <c r="AT494" s="11"/>
      <c r="AU494" s="11"/>
      <c r="AV494" s="11"/>
      <c r="AW494" s="11"/>
      <c r="AX494" s="11"/>
      <c r="AY494" s="11"/>
      <c r="AZ494" s="11"/>
    </row>
    <row r="495" ht="15.75" customHeight="1">
      <c r="A495" s="12"/>
      <c r="B495" s="13"/>
      <c r="C495" s="14"/>
      <c r="D495" s="15"/>
      <c r="E495" s="15"/>
      <c r="F495" s="15"/>
      <c r="G495" s="15"/>
      <c r="H495" s="15"/>
      <c r="I495" s="15"/>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8"/>
      <c r="AL495" s="9"/>
      <c r="AM495" s="9"/>
      <c r="AN495" s="11"/>
      <c r="AO495" s="11"/>
      <c r="AP495" s="11"/>
      <c r="AQ495" s="11"/>
      <c r="AR495" s="11"/>
      <c r="AS495" s="11"/>
      <c r="AT495" s="11"/>
      <c r="AU495" s="11"/>
      <c r="AV495" s="11"/>
      <c r="AW495" s="11"/>
      <c r="AX495" s="11"/>
      <c r="AY495" s="11"/>
      <c r="AZ495" s="11"/>
    </row>
    <row r="496" ht="15.75" customHeight="1">
      <c r="A496" s="12"/>
      <c r="B496" s="13"/>
      <c r="C496" s="14"/>
      <c r="D496" s="15"/>
      <c r="E496" s="15"/>
      <c r="F496" s="15"/>
      <c r="G496" s="15"/>
      <c r="H496" s="15"/>
      <c r="I496" s="15"/>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8"/>
      <c r="AL496" s="9"/>
      <c r="AM496" s="9"/>
      <c r="AN496" s="11"/>
      <c r="AO496" s="11"/>
      <c r="AP496" s="11"/>
      <c r="AQ496" s="11"/>
      <c r="AR496" s="11"/>
      <c r="AS496" s="11"/>
      <c r="AT496" s="11"/>
      <c r="AU496" s="11"/>
      <c r="AV496" s="11"/>
      <c r="AW496" s="11"/>
      <c r="AX496" s="11"/>
      <c r="AY496" s="11"/>
      <c r="AZ496" s="11"/>
    </row>
    <row r="497" ht="15.75" customHeight="1">
      <c r="A497" s="12"/>
      <c r="B497" s="13"/>
      <c r="C497" s="14"/>
      <c r="D497" s="15"/>
      <c r="E497" s="15"/>
      <c r="F497" s="15"/>
      <c r="G497" s="15"/>
      <c r="H497" s="15"/>
      <c r="I497" s="15"/>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8"/>
      <c r="AL497" s="9"/>
      <c r="AM497" s="9"/>
      <c r="AN497" s="11"/>
      <c r="AO497" s="11"/>
      <c r="AP497" s="11"/>
      <c r="AQ497" s="11"/>
      <c r="AR497" s="11"/>
      <c r="AS497" s="11"/>
      <c r="AT497" s="11"/>
      <c r="AU497" s="11"/>
      <c r="AV497" s="11"/>
      <c r="AW497" s="11"/>
      <c r="AX497" s="11"/>
      <c r="AY497" s="11"/>
      <c r="AZ497" s="11"/>
    </row>
    <row r="498" ht="15.75" customHeight="1">
      <c r="A498" s="12"/>
      <c r="B498" s="13"/>
      <c r="C498" s="14"/>
      <c r="D498" s="15"/>
      <c r="E498" s="15"/>
      <c r="F498" s="15"/>
      <c r="G498" s="15"/>
      <c r="H498" s="15"/>
      <c r="I498" s="15"/>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8"/>
      <c r="AL498" s="9"/>
      <c r="AM498" s="9"/>
      <c r="AN498" s="11"/>
      <c r="AO498" s="11"/>
      <c r="AP498" s="11"/>
      <c r="AQ498" s="11"/>
      <c r="AR498" s="11"/>
      <c r="AS498" s="11"/>
      <c r="AT498" s="11"/>
      <c r="AU498" s="11"/>
      <c r="AV498" s="11"/>
      <c r="AW498" s="11"/>
      <c r="AX498" s="11"/>
      <c r="AY498" s="11"/>
      <c r="AZ498" s="11"/>
    </row>
    <row r="499" ht="15.75" customHeight="1">
      <c r="A499" s="12"/>
      <c r="B499" s="13"/>
      <c r="C499" s="14"/>
      <c r="D499" s="15"/>
      <c r="E499" s="15"/>
      <c r="F499" s="15"/>
      <c r="G499" s="15"/>
      <c r="H499" s="15"/>
      <c r="I499" s="15"/>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8"/>
      <c r="AL499" s="9"/>
      <c r="AM499" s="9"/>
      <c r="AN499" s="11"/>
      <c r="AO499" s="11"/>
      <c r="AP499" s="11"/>
      <c r="AQ499" s="11"/>
      <c r="AR499" s="11"/>
      <c r="AS499" s="11"/>
      <c r="AT499" s="11"/>
      <c r="AU499" s="11"/>
      <c r="AV499" s="11"/>
      <c r="AW499" s="11"/>
      <c r="AX499" s="11"/>
      <c r="AY499" s="11"/>
      <c r="AZ499" s="11"/>
    </row>
    <row r="500" ht="15.75" customHeight="1">
      <c r="A500" s="12"/>
      <c r="B500" s="13"/>
      <c r="C500" s="14"/>
      <c r="D500" s="15"/>
      <c r="E500" s="15"/>
      <c r="F500" s="15"/>
      <c r="G500" s="15"/>
      <c r="H500" s="15"/>
      <c r="I500" s="15"/>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8"/>
      <c r="AL500" s="9"/>
      <c r="AM500" s="9"/>
      <c r="AN500" s="11"/>
      <c r="AO500" s="11"/>
      <c r="AP500" s="11"/>
      <c r="AQ500" s="11"/>
      <c r="AR500" s="11"/>
      <c r="AS500" s="11"/>
      <c r="AT500" s="11"/>
      <c r="AU500" s="11"/>
      <c r="AV500" s="11"/>
      <c r="AW500" s="11"/>
      <c r="AX500" s="11"/>
      <c r="AY500" s="11"/>
      <c r="AZ500" s="11"/>
    </row>
    <row r="501" ht="15.75" customHeight="1">
      <c r="A501" s="12"/>
      <c r="B501" s="13"/>
      <c r="C501" s="14"/>
      <c r="D501" s="15"/>
      <c r="E501" s="15"/>
      <c r="F501" s="15"/>
      <c r="G501" s="15"/>
      <c r="H501" s="15"/>
      <c r="I501" s="15"/>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8"/>
      <c r="AL501" s="9"/>
      <c r="AM501" s="9"/>
      <c r="AN501" s="11"/>
      <c r="AO501" s="11"/>
      <c r="AP501" s="11"/>
      <c r="AQ501" s="11"/>
      <c r="AR501" s="11"/>
      <c r="AS501" s="11"/>
      <c r="AT501" s="11"/>
      <c r="AU501" s="11"/>
      <c r="AV501" s="11"/>
      <c r="AW501" s="11"/>
      <c r="AX501" s="11"/>
      <c r="AY501" s="11"/>
      <c r="AZ501" s="11"/>
    </row>
    <row r="502" ht="15.75" customHeight="1">
      <c r="A502" s="12"/>
      <c r="B502" s="13"/>
      <c r="C502" s="14"/>
      <c r="D502" s="15"/>
      <c r="E502" s="15"/>
      <c r="F502" s="15"/>
      <c r="G502" s="15"/>
      <c r="H502" s="15"/>
      <c r="I502" s="15"/>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8"/>
      <c r="AL502" s="9"/>
      <c r="AM502" s="9"/>
      <c r="AN502" s="11"/>
      <c r="AO502" s="11"/>
      <c r="AP502" s="11"/>
      <c r="AQ502" s="11"/>
      <c r="AR502" s="11"/>
      <c r="AS502" s="11"/>
      <c r="AT502" s="11"/>
      <c r="AU502" s="11"/>
      <c r="AV502" s="11"/>
      <c r="AW502" s="11"/>
      <c r="AX502" s="11"/>
      <c r="AY502" s="11"/>
      <c r="AZ502" s="11"/>
    </row>
    <row r="503" ht="15.75" customHeight="1">
      <c r="A503" s="12"/>
      <c r="B503" s="13"/>
      <c r="C503" s="14"/>
      <c r="D503" s="15"/>
      <c r="E503" s="15"/>
      <c r="F503" s="15"/>
      <c r="G503" s="15"/>
      <c r="H503" s="15"/>
      <c r="I503" s="15"/>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8"/>
      <c r="AL503" s="9"/>
      <c r="AM503" s="9"/>
      <c r="AN503" s="11"/>
      <c r="AO503" s="11"/>
      <c r="AP503" s="11"/>
      <c r="AQ503" s="11"/>
      <c r="AR503" s="11"/>
      <c r="AS503" s="11"/>
      <c r="AT503" s="11"/>
      <c r="AU503" s="11"/>
      <c r="AV503" s="11"/>
      <c r="AW503" s="11"/>
      <c r="AX503" s="11"/>
      <c r="AY503" s="11"/>
      <c r="AZ503" s="11"/>
    </row>
    <row r="504" ht="15.75" customHeight="1">
      <c r="A504" s="12"/>
      <c r="B504" s="13"/>
      <c r="C504" s="14"/>
      <c r="D504" s="15"/>
      <c r="E504" s="15"/>
      <c r="F504" s="15"/>
      <c r="G504" s="15"/>
      <c r="H504" s="15"/>
      <c r="I504" s="15"/>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8"/>
      <c r="AL504" s="9"/>
      <c r="AM504" s="9"/>
      <c r="AN504" s="11"/>
      <c r="AO504" s="11"/>
      <c r="AP504" s="11"/>
      <c r="AQ504" s="11"/>
      <c r="AR504" s="11"/>
      <c r="AS504" s="11"/>
      <c r="AT504" s="11"/>
      <c r="AU504" s="11"/>
      <c r="AV504" s="11"/>
      <c r="AW504" s="11"/>
      <c r="AX504" s="11"/>
      <c r="AY504" s="11"/>
      <c r="AZ504" s="11"/>
    </row>
    <row r="505" ht="15.75" customHeight="1">
      <c r="A505" s="12"/>
      <c r="B505" s="13"/>
      <c r="C505" s="14"/>
      <c r="D505" s="15"/>
      <c r="E505" s="15"/>
      <c r="F505" s="15"/>
      <c r="G505" s="15"/>
      <c r="H505" s="15"/>
      <c r="I505" s="15"/>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8"/>
      <c r="AL505" s="9"/>
      <c r="AM505" s="9"/>
      <c r="AN505" s="11"/>
      <c r="AO505" s="11"/>
      <c r="AP505" s="11"/>
      <c r="AQ505" s="11"/>
      <c r="AR505" s="11"/>
      <c r="AS505" s="11"/>
      <c r="AT505" s="11"/>
      <c r="AU505" s="11"/>
      <c r="AV505" s="11"/>
      <c r="AW505" s="11"/>
      <c r="AX505" s="11"/>
      <c r="AY505" s="11"/>
      <c r="AZ505" s="11"/>
    </row>
    <row r="506" ht="15.75" customHeight="1">
      <c r="A506" s="12"/>
      <c r="B506" s="13"/>
      <c r="C506" s="14"/>
      <c r="D506" s="15"/>
      <c r="E506" s="15"/>
      <c r="F506" s="15"/>
      <c r="G506" s="15"/>
      <c r="H506" s="15"/>
      <c r="I506" s="15"/>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8"/>
      <c r="AL506" s="9"/>
      <c r="AM506" s="9"/>
      <c r="AN506" s="11"/>
      <c r="AO506" s="11"/>
      <c r="AP506" s="11"/>
      <c r="AQ506" s="11"/>
      <c r="AR506" s="11"/>
      <c r="AS506" s="11"/>
      <c r="AT506" s="11"/>
      <c r="AU506" s="11"/>
      <c r="AV506" s="11"/>
      <c r="AW506" s="11"/>
      <c r="AX506" s="11"/>
      <c r="AY506" s="11"/>
      <c r="AZ506" s="11"/>
    </row>
    <row r="507" ht="15.75" customHeight="1">
      <c r="A507" s="12"/>
      <c r="B507" s="13"/>
      <c r="C507" s="14"/>
      <c r="D507" s="15"/>
      <c r="E507" s="15"/>
      <c r="F507" s="15"/>
      <c r="G507" s="15"/>
      <c r="H507" s="15"/>
      <c r="I507" s="15"/>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8"/>
      <c r="AL507" s="9"/>
      <c r="AM507" s="9"/>
      <c r="AN507" s="11"/>
      <c r="AO507" s="11"/>
      <c r="AP507" s="11"/>
      <c r="AQ507" s="11"/>
      <c r="AR507" s="11"/>
      <c r="AS507" s="11"/>
      <c r="AT507" s="11"/>
      <c r="AU507" s="11"/>
      <c r="AV507" s="11"/>
      <c r="AW507" s="11"/>
      <c r="AX507" s="11"/>
      <c r="AY507" s="11"/>
      <c r="AZ507" s="11"/>
    </row>
    <row r="508" ht="15.75" customHeight="1">
      <c r="A508" s="12"/>
      <c r="B508" s="13"/>
      <c r="C508" s="14"/>
      <c r="D508" s="15"/>
      <c r="E508" s="15"/>
      <c r="F508" s="15"/>
      <c r="G508" s="15"/>
      <c r="H508" s="15"/>
      <c r="I508" s="15"/>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8"/>
      <c r="AL508" s="9"/>
      <c r="AM508" s="9"/>
      <c r="AN508" s="11"/>
      <c r="AO508" s="11"/>
      <c r="AP508" s="11"/>
      <c r="AQ508" s="11"/>
      <c r="AR508" s="11"/>
      <c r="AS508" s="11"/>
      <c r="AT508" s="11"/>
      <c r="AU508" s="11"/>
      <c r="AV508" s="11"/>
      <c r="AW508" s="11"/>
      <c r="AX508" s="11"/>
      <c r="AY508" s="11"/>
      <c r="AZ508" s="11"/>
    </row>
    <row r="509" ht="15.75" customHeight="1">
      <c r="A509" s="12"/>
      <c r="B509" s="13"/>
      <c r="C509" s="14"/>
      <c r="D509" s="15"/>
      <c r="E509" s="15"/>
      <c r="F509" s="15"/>
      <c r="G509" s="15"/>
      <c r="H509" s="15"/>
      <c r="I509" s="15"/>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8"/>
      <c r="AL509" s="9"/>
      <c r="AM509" s="9"/>
      <c r="AN509" s="11"/>
      <c r="AO509" s="11"/>
      <c r="AP509" s="11"/>
      <c r="AQ509" s="11"/>
      <c r="AR509" s="11"/>
      <c r="AS509" s="11"/>
      <c r="AT509" s="11"/>
      <c r="AU509" s="11"/>
      <c r="AV509" s="11"/>
      <c r="AW509" s="11"/>
      <c r="AX509" s="11"/>
      <c r="AY509" s="11"/>
      <c r="AZ509" s="11"/>
    </row>
    <row r="510" ht="15.75" customHeight="1">
      <c r="A510" s="12"/>
      <c r="B510" s="13"/>
      <c r="C510" s="14"/>
      <c r="D510" s="15"/>
      <c r="E510" s="15"/>
      <c r="F510" s="15"/>
      <c r="G510" s="15"/>
      <c r="H510" s="15"/>
      <c r="I510" s="15"/>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8"/>
      <c r="AL510" s="9"/>
      <c r="AM510" s="9"/>
      <c r="AN510" s="11"/>
      <c r="AO510" s="11"/>
      <c r="AP510" s="11"/>
      <c r="AQ510" s="11"/>
      <c r="AR510" s="11"/>
      <c r="AS510" s="11"/>
      <c r="AT510" s="11"/>
      <c r="AU510" s="11"/>
      <c r="AV510" s="11"/>
      <c r="AW510" s="11"/>
      <c r="AX510" s="11"/>
      <c r="AY510" s="11"/>
      <c r="AZ510" s="11"/>
    </row>
    <row r="511" ht="15.75" customHeight="1">
      <c r="A511" s="12"/>
      <c r="B511" s="13"/>
      <c r="C511" s="14"/>
      <c r="D511" s="15"/>
      <c r="E511" s="15"/>
      <c r="F511" s="15"/>
      <c r="G511" s="15"/>
      <c r="H511" s="15"/>
      <c r="I511" s="15"/>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8"/>
      <c r="AL511" s="9"/>
      <c r="AM511" s="9"/>
      <c r="AN511" s="11"/>
      <c r="AO511" s="11"/>
      <c r="AP511" s="11"/>
      <c r="AQ511" s="11"/>
      <c r="AR511" s="11"/>
      <c r="AS511" s="11"/>
      <c r="AT511" s="11"/>
      <c r="AU511" s="11"/>
      <c r="AV511" s="11"/>
      <c r="AW511" s="11"/>
      <c r="AX511" s="11"/>
      <c r="AY511" s="11"/>
      <c r="AZ511" s="11"/>
    </row>
    <row r="512" ht="15.75" customHeight="1">
      <c r="A512" s="12"/>
      <c r="B512" s="13"/>
      <c r="C512" s="14"/>
      <c r="D512" s="15"/>
      <c r="E512" s="15"/>
      <c r="F512" s="15"/>
      <c r="G512" s="15"/>
      <c r="H512" s="15"/>
      <c r="I512" s="15"/>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8"/>
      <c r="AL512" s="9"/>
      <c r="AM512" s="9"/>
      <c r="AN512" s="11"/>
      <c r="AO512" s="11"/>
      <c r="AP512" s="11"/>
      <c r="AQ512" s="11"/>
      <c r="AR512" s="11"/>
      <c r="AS512" s="11"/>
      <c r="AT512" s="11"/>
      <c r="AU512" s="11"/>
      <c r="AV512" s="11"/>
      <c r="AW512" s="11"/>
      <c r="AX512" s="11"/>
      <c r="AY512" s="11"/>
      <c r="AZ512" s="11"/>
    </row>
    <row r="513" ht="15.75" customHeight="1">
      <c r="A513" s="12"/>
      <c r="B513" s="13"/>
      <c r="C513" s="14"/>
      <c r="D513" s="15"/>
      <c r="E513" s="15"/>
      <c r="F513" s="15"/>
      <c r="G513" s="15"/>
      <c r="H513" s="15"/>
      <c r="I513" s="15"/>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8"/>
      <c r="AL513" s="9"/>
      <c r="AM513" s="9"/>
      <c r="AN513" s="11"/>
      <c r="AO513" s="11"/>
      <c r="AP513" s="11"/>
      <c r="AQ513" s="11"/>
      <c r="AR513" s="11"/>
      <c r="AS513" s="11"/>
      <c r="AT513" s="11"/>
      <c r="AU513" s="11"/>
      <c r="AV513" s="11"/>
      <c r="AW513" s="11"/>
      <c r="AX513" s="11"/>
      <c r="AY513" s="11"/>
      <c r="AZ513" s="11"/>
    </row>
    <row r="514" ht="15.75" customHeight="1">
      <c r="A514" s="12"/>
      <c r="B514" s="13"/>
      <c r="C514" s="14"/>
      <c r="D514" s="15"/>
      <c r="E514" s="15"/>
      <c r="F514" s="15"/>
      <c r="G514" s="15"/>
      <c r="H514" s="15"/>
      <c r="I514" s="15"/>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8"/>
      <c r="AL514" s="9"/>
      <c r="AM514" s="9"/>
      <c r="AN514" s="11"/>
      <c r="AO514" s="11"/>
      <c r="AP514" s="11"/>
      <c r="AQ514" s="11"/>
      <c r="AR514" s="11"/>
      <c r="AS514" s="11"/>
      <c r="AT514" s="11"/>
      <c r="AU514" s="11"/>
      <c r="AV514" s="11"/>
      <c r="AW514" s="11"/>
      <c r="AX514" s="11"/>
      <c r="AY514" s="11"/>
      <c r="AZ514" s="11"/>
    </row>
    <row r="515" ht="15.75" customHeight="1">
      <c r="A515" s="12"/>
      <c r="B515" s="13"/>
      <c r="C515" s="14"/>
      <c r="D515" s="15"/>
      <c r="E515" s="15"/>
      <c r="F515" s="15"/>
      <c r="G515" s="15"/>
      <c r="H515" s="15"/>
      <c r="I515" s="15"/>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8"/>
      <c r="AL515" s="9"/>
      <c r="AM515" s="9"/>
      <c r="AN515" s="11"/>
      <c r="AO515" s="11"/>
      <c r="AP515" s="11"/>
      <c r="AQ515" s="11"/>
      <c r="AR515" s="11"/>
      <c r="AS515" s="11"/>
      <c r="AT515" s="11"/>
      <c r="AU515" s="11"/>
      <c r="AV515" s="11"/>
      <c r="AW515" s="11"/>
      <c r="AX515" s="11"/>
      <c r="AY515" s="11"/>
      <c r="AZ515" s="11"/>
    </row>
    <row r="516" ht="15.75" customHeight="1">
      <c r="A516" s="12"/>
      <c r="B516" s="13"/>
      <c r="C516" s="14"/>
      <c r="D516" s="15"/>
      <c r="E516" s="15"/>
      <c r="F516" s="15"/>
      <c r="G516" s="15"/>
      <c r="H516" s="15"/>
      <c r="I516" s="15"/>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8"/>
      <c r="AL516" s="9"/>
      <c r="AM516" s="9"/>
      <c r="AN516" s="11"/>
      <c r="AO516" s="11"/>
      <c r="AP516" s="11"/>
      <c r="AQ516" s="11"/>
      <c r="AR516" s="11"/>
      <c r="AS516" s="11"/>
      <c r="AT516" s="11"/>
      <c r="AU516" s="11"/>
      <c r="AV516" s="11"/>
      <c r="AW516" s="11"/>
      <c r="AX516" s="11"/>
      <c r="AY516" s="11"/>
      <c r="AZ516" s="11"/>
    </row>
    <row r="517" ht="15.75" customHeight="1">
      <c r="A517" s="12"/>
      <c r="B517" s="13"/>
      <c r="C517" s="14"/>
      <c r="D517" s="15"/>
      <c r="E517" s="15"/>
      <c r="F517" s="15"/>
      <c r="G517" s="15"/>
      <c r="H517" s="15"/>
      <c r="I517" s="15"/>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8"/>
      <c r="AL517" s="9"/>
      <c r="AM517" s="9"/>
      <c r="AN517" s="11"/>
      <c r="AO517" s="11"/>
      <c r="AP517" s="11"/>
      <c r="AQ517" s="11"/>
      <c r="AR517" s="11"/>
      <c r="AS517" s="11"/>
      <c r="AT517" s="11"/>
      <c r="AU517" s="11"/>
      <c r="AV517" s="11"/>
      <c r="AW517" s="11"/>
      <c r="AX517" s="11"/>
      <c r="AY517" s="11"/>
      <c r="AZ517" s="11"/>
    </row>
    <row r="518" ht="15.75" customHeight="1">
      <c r="A518" s="12"/>
      <c r="B518" s="13"/>
      <c r="C518" s="14"/>
      <c r="D518" s="15"/>
      <c r="E518" s="15"/>
      <c r="F518" s="15"/>
      <c r="G518" s="15"/>
      <c r="H518" s="15"/>
      <c r="I518" s="15"/>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8"/>
      <c r="AL518" s="9"/>
      <c r="AM518" s="9"/>
      <c r="AN518" s="11"/>
      <c r="AO518" s="11"/>
      <c r="AP518" s="11"/>
      <c r="AQ518" s="11"/>
      <c r="AR518" s="11"/>
      <c r="AS518" s="11"/>
      <c r="AT518" s="11"/>
      <c r="AU518" s="11"/>
      <c r="AV518" s="11"/>
      <c r="AW518" s="11"/>
      <c r="AX518" s="11"/>
      <c r="AY518" s="11"/>
      <c r="AZ518" s="11"/>
    </row>
    <row r="519" ht="15.75" customHeight="1">
      <c r="A519" s="12"/>
      <c r="B519" s="13"/>
      <c r="C519" s="14"/>
      <c r="D519" s="15"/>
      <c r="E519" s="15"/>
      <c r="F519" s="15"/>
      <c r="G519" s="15"/>
      <c r="H519" s="15"/>
      <c r="I519" s="15"/>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8"/>
      <c r="AL519" s="9"/>
      <c r="AM519" s="9"/>
      <c r="AN519" s="11"/>
      <c r="AO519" s="11"/>
      <c r="AP519" s="11"/>
      <c r="AQ519" s="11"/>
      <c r="AR519" s="11"/>
      <c r="AS519" s="11"/>
      <c r="AT519" s="11"/>
      <c r="AU519" s="11"/>
      <c r="AV519" s="11"/>
      <c r="AW519" s="11"/>
      <c r="AX519" s="11"/>
      <c r="AY519" s="11"/>
      <c r="AZ519" s="11"/>
    </row>
    <row r="520" ht="15.75" customHeight="1">
      <c r="A520" s="12"/>
      <c r="B520" s="13"/>
      <c r="C520" s="14"/>
      <c r="D520" s="15"/>
      <c r="E520" s="15"/>
      <c r="F520" s="15"/>
      <c r="G520" s="15"/>
      <c r="H520" s="15"/>
      <c r="I520" s="15"/>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8"/>
      <c r="AL520" s="9"/>
      <c r="AM520" s="9"/>
      <c r="AN520" s="11"/>
      <c r="AO520" s="11"/>
      <c r="AP520" s="11"/>
      <c r="AQ520" s="11"/>
      <c r="AR520" s="11"/>
      <c r="AS520" s="11"/>
      <c r="AT520" s="11"/>
      <c r="AU520" s="11"/>
      <c r="AV520" s="11"/>
      <c r="AW520" s="11"/>
      <c r="AX520" s="11"/>
      <c r="AY520" s="11"/>
      <c r="AZ520" s="11"/>
    </row>
    <row r="521" ht="15.75" customHeight="1">
      <c r="A521" s="12"/>
      <c r="B521" s="13"/>
      <c r="C521" s="14"/>
      <c r="D521" s="15"/>
      <c r="E521" s="15"/>
      <c r="F521" s="15"/>
      <c r="G521" s="15"/>
      <c r="H521" s="15"/>
      <c r="I521" s="15"/>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8"/>
      <c r="AL521" s="9"/>
      <c r="AM521" s="9"/>
      <c r="AN521" s="11"/>
      <c r="AO521" s="11"/>
      <c r="AP521" s="11"/>
      <c r="AQ521" s="11"/>
      <c r="AR521" s="11"/>
      <c r="AS521" s="11"/>
      <c r="AT521" s="11"/>
      <c r="AU521" s="11"/>
      <c r="AV521" s="11"/>
      <c r="AW521" s="11"/>
      <c r="AX521" s="11"/>
      <c r="AY521" s="11"/>
      <c r="AZ521" s="11"/>
    </row>
    <row r="522" ht="15.75" customHeight="1">
      <c r="A522" s="12"/>
      <c r="B522" s="13"/>
      <c r="C522" s="14"/>
      <c r="D522" s="15"/>
      <c r="E522" s="15"/>
      <c r="F522" s="15"/>
      <c r="G522" s="15"/>
      <c r="H522" s="15"/>
      <c r="I522" s="15"/>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8"/>
      <c r="AL522" s="9"/>
      <c r="AM522" s="9"/>
      <c r="AN522" s="11"/>
      <c r="AO522" s="11"/>
      <c r="AP522" s="11"/>
      <c r="AQ522" s="11"/>
      <c r="AR522" s="11"/>
      <c r="AS522" s="11"/>
      <c r="AT522" s="11"/>
      <c r="AU522" s="11"/>
      <c r="AV522" s="11"/>
      <c r="AW522" s="11"/>
      <c r="AX522" s="11"/>
      <c r="AY522" s="11"/>
      <c r="AZ522" s="11"/>
    </row>
    <row r="523" ht="15.75" customHeight="1">
      <c r="A523" s="12"/>
      <c r="B523" s="13"/>
      <c r="C523" s="14"/>
      <c r="D523" s="15"/>
      <c r="E523" s="15"/>
      <c r="F523" s="15"/>
      <c r="G523" s="15"/>
      <c r="H523" s="15"/>
      <c r="I523" s="15"/>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8"/>
      <c r="AL523" s="9"/>
      <c r="AM523" s="9"/>
      <c r="AN523" s="11"/>
      <c r="AO523" s="11"/>
      <c r="AP523" s="11"/>
      <c r="AQ523" s="11"/>
      <c r="AR523" s="11"/>
      <c r="AS523" s="11"/>
      <c r="AT523" s="11"/>
      <c r="AU523" s="11"/>
      <c r="AV523" s="11"/>
      <c r="AW523" s="11"/>
      <c r="AX523" s="11"/>
      <c r="AY523" s="11"/>
      <c r="AZ523" s="11"/>
    </row>
    <row r="524" ht="15.75" customHeight="1">
      <c r="A524" s="12"/>
      <c r="B524" s="13"/>
      <c r="C524" s="14"/>
      <c r="D524" s="15"/>
      <c r="E524" s="15"/>
      <c r="F524" s="15"/>
      <c r="G524" s="15"/>
      <c r="H524" s="15"/>
      <c r="I524" s="15"/>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8"/>
      <c r="AL524" s="9"/>
      <c r="AM524" s="9"/>
      <c r="AN524" s="11"/>
      <c r="AO524" s="11"/>
      <c r="AP524" s="11"/>
      <c r="AQ524" s="11"/>
      <c r="AR524" s="11"/>
      <c r="AS524" s="11"/>
      <c r="AT524" s="11"/>
      <c r="AU524" s="11"/>
      <c r="AV524" s="11"/>
      <c r="AW524" s="11"/>
      <c r="AX524" s="11"/>
      <c r="AY524" s="11"/>
      <c r="AZ524" s="11"/>
    </row>
    <row r="525" ht="15.75" customHeight="1">
      <c r="A525" s="12"/>
      <c r="B525" s="13"/>
      <c r="C525" s="14"/>
      <c r="D525" s="15"/>
      <c r="E525" s="15"/>
      <c r="F525" s="15"/>
      <c r="G525" s="15"/>
      <c r="H525" s="15"/>
      <c r="I525" s="15"/>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8"/>
      <c r="AL525" s="9"/>
      <c r="AM525" s="9"/>
      <c r="AN525" s="11"/>
      <c r="AO525" s="11"/>
      <c r="AP525" s="11"/>
      <c r="AQ525" s="11"/>
      <c r="AR525" s="11"/>
      <c r="AS525" s="11"/>
      <c r="AT525" s="11"/>
      <c r="AU525" s="11"/>
      <c r="AV525" s="11"/>
      <c r="AW525" s="11"/>
      <c r="AX525" s="11"/>
      <c r="AY525" s="11"/>
      <c r="AZ525" s="11"/>
    </row>
    <row r="526" ht="15.75" customHeight="1">
      <c r="A526" s="12"/>
      <c r="B526" s="13"/>
      <c r="C526" s="14"/>
      <c r="D526" s="15"/>
      <c r="E526" s="15"/>
      <c r="F526" s="15"/>
      <c r="G526" s="15"/>
      <c r="H526" s="15"/>
      <c r="I526" s="15"/>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8"/>
      <c r="AL526" s="9"/>
      <c r="AM526" s="9"/>
      <c r="AN526" s="11"/>
      <c r="AO526" s="11"/>
      <c r="AP526" s="11"/>
      <c r="AQ526" s="11"/>
      <c r="AR526" s="11"/>
      <c r="AS526" s="11"/>
      <c r="AT526" s="11"/>
      <c r="AU526" s="11"/>
      <c r="AV526" s="11"/>
      <c r="AW526" s="11"/>
      <c r="AX526" s="11"/>
      <c r="AY526" s="11"/>
      <c r="AZ526" s="11"/>
    </row>
    <row r="527" ht="15.75" customHeight="1">
      <c r="A527" s="12"/>
      <c r="B527" s="13"/>
      <c r="C527" s="14"/>
      <c r="D527" s="15"/>
      <c r="E527" s="15"/>
      <c r="F527" s="15"/>
      <c r="G527" s="15"/>
      <c r="H527" s="15"/>
      <c r="I527" s="15"/>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8"/>
      <c r="AL527" s="9"/>
      <c r="AM527" s="9"/>
      <c r="AN527" s="11"/>
      <c r="AO527" s="11"/>
      <c r="AP527" s="11"/>
      <c r="AQ527" s="11"/>
      <c r="AR527" s="11"/>
      <c r="AS527" s="11"/>
      <c r="AT527" s="11"/>
      <c r="AU527" s="11"/>
      <c r="AV527" s="11"/>
      <c r="AW527" s="11"/>
      <c r="AX527" s="11"/>
      <c r="AY527" s="11"/>
      <c r="AZ527" s="11"/>
    </row>
    <row r="528" ht="15.75" customHeight="1">
      <c r="A528" s="12"/>
      <c r="B528" s="13"/>
      <c r="C528" s="14"/>
      <c r="D528" s="15"/>
      <c r="E528" s="15"/>
      <c r="F528" s="15"/>
      <c r="G528" s="15"/>
      <c r="H528" s="15"/>
      <c r="I528" s="15"/>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8"/>
      <c r="AL528" s="9"/>
      <c r="AM528" s="9"/>
      <c r="AN528" s="11"/>
      <c r="AO528" s="11"/>
      <c r="AP528" s="11"/>
      <c r="AQ528" s="11"/>
      <c r="AR528" s="11"/>
      <c r="AS528" s="11"/>
      <c r="AT528" s="11"/>
      <c r="AU528" s="11"/>
      <c r="AV528" s="11"/>
      <c r="AW528" s="11"/>
      <c r="AX528" s="11"/>
      <c r="AY528" s="11"/>
      <c r="AZ528" s="11"/>
    </row>
    <row r="529" ht="15.75" customHeight="1">
      <c r="A529" s="12"/>
      <c r="B529" s="13"/>
      <c r="C529" s="14"/>
      <c r="D529" s="15"/>
      <c r="E529" s="15"/>
      <c r="F529" s="15"/>
      <c r="G529" s="15"/>
      <c r="H529" s="15"/>
      <c r="I529" s="15"/>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8"/>
      <c r="AL529" s="9"/>
      <c r="AM529" s="9"/>
      <c r="AN529" s="11"/>
      <c r="AO529" s="11"/>
      <c r="AP529" s="11"/>
      <c r="AQ529" s="11"/>
      <c r="AR529" s="11"/>
      <c r="AS529" s="11"/>
      <c r="AT529" s="11"/>
      <c r="AU529" s="11"/>
      <c r="AV529" s="11"/>
      <c r="AW529" s="11"/>
      <c r="AX529" s="11"/>
      <c r="AY529" s="11"/>
      <c r="AZ529" s="11"/>
    </row>
    <row r="530" ht="15.75" customHeight="1">
      <c r="A530" s="12"/>
      <c r="B530" s="13"/>
      <c r="C530" s="14"/>
      <c r="D530" s="15"/>
      <c r="E530" s="15"/>
      <c r="F530" s="15"/>
      <c r="G530" s="15"/>
      <c r="H530" s="15"/>
      <c r="I530" s="15"/>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8"/>
      <c r="AL530" s="9"/>
      <c r="AM530" s="9"/>
      <c r="AN530" s="11"/>
      <c r="AO530" s="11"/>
      <c r="AP530" s="11"/>
      <c r="AQ530" s="11"/>
      <c r="AR530" s="11"/>
      <c r="AS530" s="11"/>
      <c r="AT530" s="11"/>
      <c r="AU530" s="11"/>
      <c r="AV530" s="11"/>
      <c r="AW530" s="11"/>
      <c r="AX530" s="11"/>
      <c r="AY530" s="11"/>
      <c r="AZ530" s="11"/>
    </row>
    <row r="531" ht="15.75" customHeight="1">
      <c r="A531" s="12"/>
      <c r="B531" s="13"/>
      <c r="C531" s="14"/>
      <c r="D531" s="15"/>
      <c r="E531" s="15"/>
      <c r="F531" s="15"/>
      <c r="G531" s="15"/>
      <c r="H531" s="15"/>
      <c r="I531" s="15"/>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8"/>
      <c r="AL531" s="9"/>
      <c r="AM531" s="9"/>
      <c r="AN531" s="11"/>
      <c r="AO531" s="11"/>
      <c r="AP531" s="11"/>
      <c r="AQ531" s="11"/>
      <c r="AR531" s="11"/>
      <c r="AS531" s="11"/>
      <c r="AT531" s="11"/>
      <c r="AU531" s="11"/>
      <c r="AV531" s="11"/>
      <c r="AW531" s="11"/>
      <c r="AX531" s="11"/>
      <c r="AY531" s="11"/>
      <c r="AZ531" s="11"/>
    </row>
    <row r="532" ht="15.75" customHeight="1">
      <c r="A532" s="12"/>
      <c r="B532" s="13"/>
      <c r="C532" s="14"/>
      <c r="D532" s="15"/>
      <c r="E532" s="15"/>
      <c r="F532" s="15"/>
      <c r="G532" s="15"/>
      <c r="H532" s="15"/>
      <c r="I532" s="15"/>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8"/>
      <c r="AL532" s="9"/>
      <c r="AM532" s="9"/>
      <c r="AN532" s="11"/>
      <c r="AO532" s="11"/>
      <c r="AP532" s="11"/>
      <c r="AQ532" s="11"/>
      <c r="AR532" s="11"/>
      <c r="AS532" s="11"/>
      <c r="AT532" s="11"/>
      <c r="AU532" s="11"/>
      <c r="AV532" s="11"/>
      <c r="AW532" s="11"/>
      <c r="AX532" s="11"/>
      <c r="AY532" s="11"/>
      <c r="AZ532" s="11"/>
    </row>
    <row r="533" ht="15.75" customHeight="1">
      <c r="A533" s="12"/>
      <c r="B533" s="13"/>
      <c r="C533" s="14"/>
      <c r="D533" s="15"/>
      <c r="E533" s="15"/>
      <c r="F533" s="15"/>
      <c r="G533" s="15"/>
      <c r="H533" s="15"/>
      <c r="I533" s="15"/>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8"/>
      <c r="AL533" s="9"/>
      <c r="AM533" s="9"/>
      <c r="AN533" s="11"/>
      <c r="AO533" s="11"/>
      <c r="AP533" s="11"/>
      <c r="AQ533" s="11"/>
      <c r="AR533" s="11"/>
      <c r="AS533" s="11"/>
      <c r="AT533" s="11"/>
      <c r="AU533" s="11"/>
      <c r="AV533" s="11"/>
      <c r="AW533" s="11"/>
      <c r="AX533" s="11"/>
      <c r="AY533" s="11"/>
      <c r="AZ533" s="11"/>
    </row>
    <row r="534" ht="15.75" customHeight="1">
      <c r="A534" s="12"/>
      <c r="B534" s="13"/>
      <c r="C534" s="14"/>
      <c r="D534" s="15"/>
      <c r="E534" s="15"/>
      <c r="F534" s="15"/>
      <c r="G534" s="15"/>
      <c r="H534" s="15"/>
      <c r="I534" s="15"/>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8"/>
      <c r="AL534" s="9"/>
      <c r="AM534" s="9"/>
      <c r="AN534" s="11"/>
      <c r="AO534" s="11"/>
      <c r="AP534" s="11"/>
      <c r="AQ534" s="11"/>
      <c r="AR534" s="11"/>
      <c r="AS534" s="11"/>
      <c r="AT534" s="11"/>
      <c r="AU534" s="11"/>
      <c r="AV534" s="11"/>
      <c r="AW534" s="11"/>
      <c r="AX534" s="11"/>
      <c r="AY534" s="11"/>
      <c r="AZ534" s="11"/>
    </row>
    <row r="535" ht="15.75" customHeight="1">
      <c r="A535" s="12"/>
      <c r="B535" s="13"/>
      <c r="C535" s="14"/>
      <c r="D535" s="15"/>
      <c r="E535" s="15"/>
      <c r="F535" s="15"/>
      <c r="G535" s="15"/>
      <c r="H535" s="15"/>
      <c r="I535" s="15"/>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8"/>
      <c r="AL535" s="9"/>
      <c r="AM535" s="9"/>
      <c r="AN535" s="11"/>
      <c r="AO535" s="11"/>
      <c r="AP535" s="11"/>
      <c r="AQ535" s="11"/>
      <c r="AR535" s="11"/>
      <c r="AS535" s="11"/>
      <c r="AT535" s="11"/>
      <c r="AU535" s="11"/>
      <c r="AV535" s="11"/>
      <c r="AW535" s="11"/>
      <c r="AX535" s="11"/>
      <c r="AY535" s="11"/>
      <c r="AZ535" s="11"/>
    </row>
    <row r="536" ht="15.75" customHeight="1">
      <c r="A536" s="12"/>
      <c r="B536" s="13"/>
      <c r="C536" s="14"/>
      <c r="D536" s="15"/>
      <c r="E536" s="15"/>
      <c r="F536" s="15"/>
      <c r="G536" s="15"/>
      <c r="H536" s="15"/>
      <c r="I536" s="15"/>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8"/>
      <c r="AL536" s="9"/>
      <c r="AM536" s="9"/>
      <c r="AN536" s="11"/>
      <c r="AO536" s="11"/>
      <c r="AP536" s="11"/>
      <c r="AQ536" s="11"/>
      <c r="AR536" s="11"/>
      <c r="AS536" s="11"/>
      <c r="AT536" s="11"/>
      <c r="AU536" s="11"/>
      <c r="AV536" s="11"/>
      <c r="AW536" s="11"/>
      <c r="AX536" s="11"/>
      <c r="AY536" s="11"/>
      <c r="AZ536" s="11"/>
    </row>
    <row r="537" ht="15.75" customHeight="1">
      <c r="A537" s="12"/>
      <c r="B537" s="13"/>
      <c r="C537" s="14"/>
      <c r="D537" s="15"/>
      <c r="E537" s="15"/>
      <c r="F537" s="15"/>
      <c r="G537" s="15"/>
      <c r="H537" s="15"/>
      <c r="I537" s="15"/>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8"/>
      <c r="AL537" s="9"/>
      <c r="AM537" s="9"/>
      <c r="AN537" s="11"/>
      <c r="AO537" s="11"/>
      <c r="AP537" s="11"/>
      <c r="AQ537" s="11"/>
      <c r="AR537" s="11"/>
      <c r="AS537" s="11"/>
      <c r="AT537" s="11"/>
      <c r="AU537" s="11"/>
      <c r="AV537" s="11"/>
      <c r="AW537" s="11"/>
      <c r="AX537" s="11"/>
      <c r="AY537" s="11"/>
      <c r="AZ537" s="11"/>
    </row>
    <row r="538" ht="15.75" customHeight="1">
      <c r="A538" s="12"/>
      <c r="B538" s="13"/>
      <c r="C538" s="14"/>
      <c r="D538" s="15"/>
      <c r="E538" s="15"/>
      <c r="F538" s="15"/>
      <c r="G538" s="15"/>
      <c r="H538" s="15"/>
      <c r="I538" s="15"/>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8"/>
      <c r="AL538" s="9"/>
      <c r="AM538" s="9"/>
      <c r="AN538" s="11"/>
      <c r="AO538" s="11"/>
      <c r="AP538" s="11"/>
      <c r="AQ538" s="11"/>
      <c r="AR538" s="11"/>
      <c r="AS538" s="11"/>
      <c r="AT538" s="11"/>
      <c r="AU538" s="11"/>
      <c r="AV538" s="11"/>
      <c r="AW538" s="11"/>
      <c r="AX538" s="11"/>
      <c r="AY538" s="11"/>
      <c r="AZ538" s="11"/>
    </row>
    <row r="539" ht="15.75" customHeight="1">
      <c r="A539" s="12"/>
      <c r="B539" s="13"/>
      <c r="C539" s="14"/>
      <c r="D539" s="15"/>
      <c r="E539" s="15"/>
      <c r="F539" s="15"/>
      <c r="G539" s="15"/>
      <c r="H539" s="15"/>
      <c r="I539" s="15"/>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8"/>
      <c r="AL539" s="9"/>
      <c r="AM539" s="9"/>
      <c r="AN539" s="11"/>
      <c r="AO539" s="11"/>
      <c r="AP539" s="11"/>
      <c r="AQ539" s="11"/>
      <c r="AR539" s="11"/>
      <c r="AS539" s="11"/>
      <c r="AT539" s="11"/>
      <c r="AU539" s="11"/>
      <c r="AV539" s="11"/>
      <c r="AW539" s="11"/>
      <c r="AX539" s="11"/>
      <c r="AY539" s="11"/>
      <c r="AZ539" s="11"/>
    </row>
    <row r="540" ht="15.75" customHeight="1">
      <c r="A540" s="12"/>
      <c r="B540" s="13"/>
      <c r="C540" s="14"/>
      <c r="D540" s="15"/>
      <c r="E540" s="15"/>
      <c r="F540" s="15"/>
      <c r="G540" s="15"/>
      <c r="H540" s="15"/>
      <c r="I540" s="15"/>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8"/>
      <c r="AL540" s="9"/>
      <c r="AM540" s="9"/>
      <c r="AN540" s="11"/>
      <c r="AO540" s="11"/>
      <c r="AP540" s="11"/>
      <c r="AQ540" s="11"/>
      <c r="AR540" s="11"/>
      <c r="AS540" s="11"/>
      <c r="AT540" s="11"/>
      <c r="AU540" s="11"/>
      <c r="AV540" s="11"/>
      <c r="AW540" s="11"/>
      <c r="AX540" s="11"/>
      <c r="AY540" s="11"/>
      <c r="AZ540" s="11"/>
    </row>
    <row r="541" ht="15.75" customHeight="1">
      <c r="A541" s="12"/>
      <c r="B541" s="13"/>
      <c r="C541" s="14"/>
      <c r="D541" s="15"/>
      <c r="E541" s="15"/>
      <c r="F541" s="15"/>
      <c r="G541" s="15"/>
      <c r="H541" s="15"/>
      <c r="I541" s="15"/>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8"/>
      <c r="AL541" s="9"/>
      <c r="AM541" s="9"/>
      <c r="AN541" s="11"/>
      <c r="AO541" s="11"/>
      <c r="AP541" s="11"/>
      <c r="AQ541" s="11"/>
      <c r="AR541" s="11"/>
      <c r="AS541" s="11"/>
      <c r="AT541" s="11"/>
      <c r="AU541" s="11"/>
      <c r="AV541" s="11"/>
      <c r="AW541" s="11"/>
      <c r="AX541" s="11"/>
      <c r="AY541" s="11"/>
      <c r="AZ541" s="11"/>
    </row>
    <row r="542" ht="15.75" customHeight="1">
      <c r="A542" s="12"/>
      <c r="B542" s="13"/>
      <c r="C542" s="14"/>
      <c r="D542" s="15"/>
      <c r="E542" s="15"/>
      <c r="F542" s="15"/>
      <c r="G542" s="15"/>
      <c r="H542" s="15"/>
      <c r="I542" s="15"/>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8"/>
      <c r="AL542" s="9"/>
      <c r="AM542" s="9"/>
      <c r="AN542" s="11"/>
      <c r="AO542" s="11"/>
      <c r="AP542" s="11"/>
      <c r="AQ542" s="11"/>
      <c r="AR542" s="11"/>
      <c r="AS542" s="11"/>
      <c r="AT542" s="11"/>
      <c r="AU542" s="11"/>
      <c r="AV542" s="11"/>
      <c r="AW542" s="11"/>
      <c r="AX542" s="11"/>
      <c r="AY542" s="11"/>
      <c r="AZ542" s="11"/>
    </row>
    <row r="543" ht="15.75" customHeight="1">
      <c r="A543" s="12"/>
      <c r="B543" s="13"/>
      <c r="C543" s="14"/>
      <c r="D543" s="15"/>
      <c r="E543" s="15"/>
      <c r="F543" s="15"/>
      <c r="G543" s="15"/>
      <c r="H543" s="15"/>
      <c r="I543" s="15"/>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8"/>
      <c r="AL543" s="9"/>
      <c r="AM543" s="9"/>
      <c r="AN543" s="11"/>
      <c r="AO543" s="11"/>
      <c r="AP543" s="11"/>
      <c r="AQ543" s="11"/>
      <c r="AR543" s="11"/>
      <c r="AS543" s="11"/>
      <c r="AT543" s="11"/>
      <c r="AU543" s="11"/>
      <c r="AV543" s="11"/>
      <c r="AW543" s="11"/>
      <c r="AX543" s="11"/>
      <c r="AY543" s="11"/>
      <c r="AZ543" s="11"/>
    </row>
    <row r="544" ht="15.75" customHeight="1">
      <c r="A544" s="12"/>
      <c r="B544" s="13"/>
      <c r="C544" s="14"/>
      <c r="D544" s="15"/>
      <c r="E544" s="15"/>
      <c r="F544" s="15"/>
      <c r="G544" s="15"/>
      <c r="H544" s="15"/>
      <c r="I544" s="15"/>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8"/>
      <c r="AL544" s="9"/>
      <c r="AM544" s="9"/>
      <c r="AN544" s="11"/>
      <c r="AO544" s="11"/>
      <c r="AP544" s="11"/>
      <c r="AQ544" s="11"/>
      <c r="AR544" s="11"/>
      <c r="AS544" s="11"/>
      <c r="AT544" s="11"/>
      <c r="AU544" s="11"/>
      <c r="AV544" s="11"/>
      <c r="AW544" s="11"/>
      <c r="AX544" s="11"/>
      <c r="AY544" s="11"/>
      <c r="AZ544" s="11"/>
    </row>
    <row r="545" ht="15.75" customHeight="1">
      <c r="A545" s="12"/>
      <c r="B545" s="13"/>
      <c r="C545" s="14"/>
      <c r="D545" s="15"/>
      <c r="E545" s="15"/>
      <c r="F545" s="15"/>
      <c r="G545" s="15"/>
      <c r="H545" s="15"/>
      <c r="I545" s="15"/>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8"/>
      <c r="AL545" s="9"/>
      <c r="AM545" s="9"/>
      <c r="AN545" s="11"/>
      <c r="AO545" s="11"/>
      <c r="AP545" s="11"/>
      <c r="AQ545" s="11"/>
      <c r="AR545" s="11"/>
      <c r="AS545" s="11"/>
      <c r="AT545" s="11"/>
      <c r="AU545" s="11"/>
      <c r="AV545" s="11"/>
      <c r="AW545" s="11"/>
      <c r="AX545" s="11"/>
      <c r="AY545" s="11"/>
      <c r="AZ545" s="11"/>
    </row>
    <row r="546" ht="15.75" customHeight="1">
      <c r="A546" s="12"/>
      <c r="B546" s="13"/>
      <c r="C546" s="14"/>
      <c r="D546" s="15"/>
      <c r="E546" s="15"/>
      <c r="F546" s="15"/>
      <c r="G546" s="15"/>
      <c r="H546" s="15"/>
      <c r="I546" s="15"/>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8"/>
      <c r="AL546" s="9"/>
      <c r="AM546" s="9"/>
      <c r="AN546" s="11"/>
      <c r="AO546" s="11"/>
      <c r="AP546" s="11"/>
      <c r="AQ546" s="11"/>
      <c r="AR546" s="11"/>
      <c r="AS546" s="11"/>
      <c r="AT546" s="11"/>
      <c r="AU546" s="11"/>
      <c r="AV546" s="11"/>
      <c r="AW546" s="11"/>
      <c r="AX546" s="11"/>
      <c r="AY546" s="11"/>
      <c r="AZ546" s="11"/>
    </row>
    <row r="547" ht="15.75" customHeight="1">
      <c r="A547" s="12"/>
      <c r="B547" s="13"/>
      <c r="C547" s="14"/>
      <c r="D547" s="15"/>
      <c r="E547" s="15"/>
      <c r="F547" s="15"/>
      <c r="G547" s="15"/>
      <c r="H547" s="15"/>
      <c r="I547" s="15"/>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8"/>
      <c r="AL547" s="9"/>
      <c r="AM547" s="9"/>
      <c r="AN547" s="11"/>
      <c r="AO547" s="11"/>
      <c r="AP547" s="11"/>
      <c r="AQ547" s="11"/>
      <c r="AR547" s="11"/>
      <c r="AS547" s="11"/>
      <c r="AT547" s="11"/>
      <c r="AU547" s="11"/>
      <c r="AV547" s="11"/>
      <c r="AW547" s="11"/>
      <c r="AX547" s="11"/>
      <c r="AY547" s="11"/>
      <c r="AZ547" s="11"/>
    </row>
    <row r="548" ht="15.75" customHeight="1">
      <c r="A548" s="12"/>
      <c r="B548" s="13"/>
      <c r="C548" s="14"/>
      <c r="D548" s="15"/>
      <c r="E548" s="15"/>
      <c r="F548" s="15"/>
      <c r="G548" s="15"/>
      <c r="H548" s="15"/>
      <c r="I548" s="15"/>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8"/>
      <c r="AL548" s="9"/>
      <c r="AM548" s="9"/>
      <c r="AN548" s="11"/>
      <c r="AO548" s="11"/>
      <c r="AP548" s="11"/>
      <c r="AQ548" s="11"/>
      <c r="AR548" s="11"/>
      <c r="AS548" s="11"/>
      <c r="AT548" s="11"/>
      <c r="AU548" s="11"/>
      <c r="AV548" s="11"/>
      <c r="AW548" s="11"/>
      <c r="AX548" s="11"/>
      <c r="AY548" s="11"/>
      <c r="AZ548" s="11"/>
    </row>
    <row r="549" ht="15.75" customHeight="1">
      <c r="A549" s="12"/>
      <c r="B549" s="13"/>
      <c r="C549" s="14"/>
      <c r="D549" s="15"/>
      <c r="E549" s="15"/>
      <c r="F549" s="15"/>
      <c r="G549" s="15"/>
      <c r="H549" s="15"/>
      <c r="I549" s="15"/>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8"/>
      <c r="AL549" s="9"/>
      <c r="AM549" s="9"/>
      <c r="AN549" s="11"/>
      <c r="AO549" s="11"/>
      <c r="AP549" s="11"/>
      <c r="AQ549" s="11"/>
      <c r="AR549" s="11"/>
      <c r="AS549" s="11"/>
      <c r="AT549" s="11"/>
      <c r="AU549" s="11"/>
      <c r="AV549" s="11"/>
      <c r="AW549" s="11"/>
      <c r="AX549" s="11"/>
      <c r="AY549" s="11"/>
      <c r="AZ549" s="11"/>
    </row>
    <row r="550" ht="15.75" customHeight="1">
      <c r="A550" s="12"/>
      <c r="B550" s="13"/>
      <c r="C550" s="14"/>
      <c r="D550" s="15"/>
      <c r="E550" s="15"/>
      <c r="F550" s="15"/>
      <c r="G550" s="15"/>
      <c r="H550" s="15"/>
      <c r="I550" s="15"/>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8"/>
      <c r="AL550" s="9"/>
      <c r="AM550" s="9"/>
      <c r="AN550" s="11"/>
      <c r="AO550" s="11"/>
      <c r="AP550" s="11"/>
      <c r="AQ550" s="11"/>
      <c r="AR550" s="11"/>
      <c r="AS550" s="11"/>
      <c r="AT550" s="11"/>
      <c r="AU550" s="11"/>
      <c r="AV550" s="11"/>
      <c r="AW550" s="11"/>
      <c r="AX550" s="11"/>
      <c r="AY550" s="11"/>
      <c r="AZ550" s="11"/>
    </row>
    <row r="551" ht="15.75" customHeight="1">
      <c r="A551" s="12"/>
      <c r="B551" s="13"/>
      <c r="C551" s="14"/>
      <c r="D551" s="15"/>
      <c r="E551" s="15"/>
      <c r="F551" s="15"/>
      <c r="G551" s="15"/>
      <c r="H551" s="15"/>
      <c r="I551" s="15"/>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8"/>
      <c r="AL551" s="9"/>
      <c r="AM551" s="9"/>
      <c r="AN551" s="11"/>
      <c r="AO551" s="11"/>
      <c r="AP551" s="11"/>
      <c r="AQ551" s="11"/>
      <c r="AR551" s="11"/>
      <c r="AS551" s="11"/>
      <c r="AT551" s="11"/>
      <c r="AU551" s="11"/>
      <c r="AV551" s="11"/>
      <c r="AW551" s="11"/>
      <c r="AX551" s="11"/>
      <c r="AY551" s="11"/>
      <c r="AZ551" s="11"/>
    </row>
    <row r="552" ht="15.75" customHeight="1">
      <c r="A552" s="12"/>
      <c r="B552" s="13"/>
      <c r="C552" s="14"/>
      <c r="D552" s="15"/>
      <c r="E552" s="15"/>
      <c r="F552" s="15"/>
      <c r="G552" s="15"/>
      <c r="H552" s="15"/>
      <c r="I552" s="15"/>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8"/>
      <c r="AL552" s="9"/>
      <c r="AM552" s="9"/>
      <c r="AN552" s="11"/>
      <c r="AO552" s="11"/>
      <c r="AP552" s="11"/>
      <c r="AQ552" s="11"/>
      <c r="AR552" s="11"/>
      <c r="AS552" s="11"/>
      <c r="AT552" s="11"/>
      <c r="AU552" s="11"/>
      <c r="AV552" s="11"/>
      <c r="AW552" s="11"/>
      <c r="AX552" s="11"/>
      <c r="AY552" s="11"/>
      <c r="AZ552" s="11"/>
    </row>
    <row r="553" ht="15.75" customHeight="1">
      <c r="A553" s="12"/>
      <c r="B553" s="13"/>
      <c r="C553" s="14"/>
      <c r="D553" s="15"/>
      <c r="E553" s="15"/>
      <c r="F553" s="15"/>
      <c r="G553" s="15"/>
      <c r="H553" s="15"/>
      <c r="I553" s="15"/>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8"/>
      <c r="AL553" s="9"/>
      <c r="AM553" s="9"/>
      <c r="AN553" s="11"/>
      <c r="AO553" s="11"/>
      <c r="AP553" s="11"/>
      <c r="AQ553" s="11"/>
      <c r="AR553" s="11"/>
      <c r="AS553" s="11"/>
      <c r="AT553" s="11"/>
      <c r="AU553" s="11"/>
      <c r="AV553" s="11"/>
      <c r="AW553" s="11"/>
      <c r="AX553" s="11"/>
      <c r="AY553" s="11"/>
      <c r="AZ553" s="11"/>
    </row>
    <row r="554" ht="15.75" customHeight="1">
      <c r="A554" s="12"/>
      <c r="B554" s="13"/>
      <c r="C554" s="14"/>
      <c r="D554" s="15"/>
      <c r="E554" s="15"/>
      <c r="F554" s="15"/>
      <c r="G554" s="15"/>
      <c r="H554" s="15"/>
      <c r="I554" s="15"/>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8"/>
      <c r="AL554" s="9"/>
      <c r="AM554" s="9"/>
      <c r="AN554" s="11"/>
      <c r="AO554" s="11"/>
      <c r="AP554" s="11"/>
      <c r="AQ554" s="11"/>
      <c r="AR554" s="11"/>
      <c r="AS554" s="11"/>
      <c r="AT554" s="11"/>
      <c r="AU554" s="11"/>
      <c r="AV554" s="11"/>
      <c r="AW554" s="11"/>
      <c r="AX554" s="11"/>
      <c r="AY554" s="11"/>
      <c r="AZ554" s="11"/>
    </row>
    <row r="555" ht="15.75" customHeight="1">
      <c r="A555" s="12"/>
      <c r="B555" s="13"/>
      <c r="C555" s="14"/>
      <c r="D555" s="15"/>
      <c r="E555" s="15"/>
      <c r="F555" s="15"/>
      <c r="G555" s="15"/>
      <c r="H555" s="15"/>
      <c r="I555" s="15"/>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8"/>
      <c r="AL555" s="9"/>
      <c r="AM555" s="9"/>
      <c r="AN555" s="11"/>
      <c r="AO555" s="11"/>
      <c r="AP555" s="11"/>
      <c r="AQ555" s="11"/>
      <c r="AR555" s="11"/>
      <c r="AS555" s="11"/>
      <c r="AT555" s="11"/>
      <c r="AU555" s="11"/>
      <c r="AV555" s="11"/>
      <c r="AW555" s="11"/>
      <c r="AX555" s="11"/>
      <c r="AY555" s="11"/>
      <c r="AZ555" s="11"/>
    </row>
    <row r="556" ht="15.75" customHeight="1">
      <c r="A556" s="12"/>
      <c r="B556" s="13"/>
      <c r="C556" s="14"/>
      <c r="D556" s="15"/>
      <c r="E556" s="15"/>
      <c r="F556" s="15"/>
      <c r="G556" s="15"/>
      <c r="H556" s="15"/>
      <c r="I556" s="15"/>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8"/>
      <c r="AL556" s="9"/>
      <c r="AM556" s="9"/>
      <c r="AN556" s="11"/>
      <c r="AO556" s="11"/>
      <c r="AP556" s="11"/>
      <c r="AQ556" s="11"/>
      <c r="AR556" s="11"/>
      <c r="AS556" s="11"/>
      <c r="AT556" s="11"/>
      <c r="AU556" s="11"/>
      <c r="AV556" s="11"/>
      <c r="AW556" s="11"/>
      <c r="AX556" s="11"/>
      <c r="AY556" s="11"/>
      <c r="AZ556" s="11"/>
    </row>
    <row r="557" ht="15.75" customHeight="1">
      <c r="A557" s="12"/>
      <c r="B557" s="13"/>
      <c r="C557" s="14"/>
      <c r="D557" s="15"/>
      <c r="E557" s="15"/>
      <c r="F557" s="15"/>
      <c r="G557" s="15"/>
      <c r="H557" s="15"/>
      <c r="I557" s="15"/>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8"/>
      <c r="AL557" s="9"/>
      <c r="AM557" s="9"/>
      <c r="AN557" s="11"/>
      <c r="AO557" s="11"/>
      <c r="AP557" s="11"/>
      <c r="AQ557" s="11"/>
      <c r="AR557" s="11"/>
      <c r="AS557" s="11"/>
      <c r="AT557" s="11"/>
      <c r="AU557" s="11"/>
      <c r="AV557" s="11"/>
      <c r="AW557" s="11"/>
      <c r="AX557" s="11"/>
      <c r="AY557" s="11"/>
      <c r="AZ557" s="11"/>
    </row>
    <row r="558" ht="15.75" customHeight="1">
      <c r="A558" s="12"/>
      <c r="B558" s="13"/>
      <c r="C558" s="14"/>
      <c r="D558" s="15"/>
      <c r="E558" s="15"/>
      <c r="F558" s="15"/>
      <c r="G558" s="15"/>
      <c r="H558" s="15"/>
      <c r="I558" s="15"/>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8"/>
      <c r="AL558" s="9"/>
      <c r="AM558" s="9"/>
      <c r="AN558" s="11"/>
      <c r="AO558" s="11"/>
      <c r="AP558" s="11"/>
      <c r="AQ558" s="11"/>
      <c r="AR558" s="11"/>
      <c r="AS558" s="11"/>
      <c r="AT558" s="11"/>
      <c r="AU558" s="11"/>
      <c r="AV558" s="11"/>
      <c r="AW558" s="11"/>
      <c r="AX558" s="11"/>
      <c r="AY558" s="11"/>
      <c r="AZ558" s="11"/>
    </row>
    <row r="559" ht="15.75" customHeight="1">
      <c r="A559" s="12"/>
      <c r="B559" s="13"/>
      <c r="C559" s="14"/>
      <c r="D559" s="15"/>
      <c r="E559" s="15"/>
      <c r="F559" s="15"/>
      <c r="G559" s="15"/>
      <c r="H559" s="15"/>
      <c r="I559" s="15"/>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8"/>
      <c r="AL559" s="9"/>
      <c r="AM559" s="9"/>
      <c r="AN559" s="11"/>
      <c r="AO559" s="11"/>
      <c r="AP559" s="11"/>
      <c r="AQ559" s="11"/>
      <c r="AR559" s="11"/>
      <c r="AS559" s="11"/>
      <c r="AT559" s="11"/>
      <c r="AU559" s="11"/>
      <c r="AV559" s="11"/>
      <c r="AW559" s="11"/>
      <c r="AX559" s="11"/>
      <c r="AY559" s="11"/>
      <c r="AZ559" s="11"/>
    </row>
    <row r="560" ht="15.75" customHeight="1">
      <c r="A560" s="12"/>
      <c r="B560" s="13"/>
      <c r="C560" s="14"/>
      <c r="D560" s="15"/>
      <c r="E560" s="15"/>
      <c r="F560" s="15"/>
      <c r="G560" s="15"/>
      <c r="H560" s="15"/>
      <c r="I560" s="15"/>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8"/>
      <c r="AL560" s="9"/>
      <c r="AM560" s="9"/>
      <c r="AN560" s="11"/>
      <c r="AO560" s="11"/>
      <c r="AP560" s="11"/>
      <c r="AQ560" s="11"/>
      <c r="AR560" s="11"/>
      <c r="AS560" s="11"/>
      <c r="AT560" s="11"/>
      <c r="AU560" s="11"/>
      <c r="AV560" s="11"/>
      <c r="AW560" s="11"/>
      <c r="AX560" s="11"/>
      <c r="AY560" s="11"/>
      <c r="AZ560" s="11"/>
    </row>
    <row r="561" ht="15.75" customHeight="1">
      <c r="A561" s="12"/>
      <c r="B561" s="13"/>
      <c r="C561" s="14"/>
      <c r="D561" s="15"/>
      <c r="E561" s="15"/>
      <c r="F561" s="15"/>
      <c r="G561" s="15"/>
      <c r="H561" s="15"/>
      <c r="I561" s="15"/>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8"/>
      <c r="AL561" s="9"/>
      <c r="AM561" s="9"/>
      <c r="AN561" s="11"/>
      <c r="AO561" s="11"/>
      <c r="AP561" s="11"/>
      <c r="AQ561" s="11"/>
      <c r="AR561" s="11"/>
      <c r="AS561" s="11"/>
      <c r="AT561" s="11"/>
      <c r="AU561" s="11"/>
      <c r="AV561" s="11"/>
      <c r="AW561" s="11"/>
      <c r="AX561" s="11"/>
      <c r="AY561" s="11"/>
      <c r="AZ561" s="11"/>
    </row>
    <row r="562" ht="15.75" customHeight="1">
      <c r="A562" s="12"/>
      <c r="B562" s="13"/>
      <c r="C562" s="14"/>
      <c r="D562" s="15"/>
      <c r="E562" s="15"/>
      <c r="F562" s="15"/>
      <c r="G562" s="15"/>
      <c r="H562" s="15"/>
      <c r="I562" s="15"/>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8"/>
      <c r="AL562" s="9"/>
      <c r="AM562" s="9"/>
      <c r="AN562" s="11"/>
      <c r="AO562" s="11"/>
      <c r="AP562" s="11"/>
      <c r="AQ562" s="11"/>
      <c r="AR562" s="11"/>
      <c r="AS562" s="11"/>
      <c r="AT562" s="11"/>
      <c r="AU562" s="11"/>
      <c r="AV562" s="11"/>
      <c r="AW562" s="11"/>
      <c r="AX562" s="11"/>
      <c r="AY562" s="11"/>
      <c r="AZ562" s="11"/>
    </row>
    <row r="563" ht="15.75" customHeight="1">
      <c r="A563" s="12"/>
      <c r="B563" s="13"/>
      <c r="C563" s="14"/>
      <c r="D563" s="15"/>
      <c r="E563" s="15"/>
      <c r="F563" s="15"/>
      <c r="G563" s="15"/>
      <c r="H563" s="15"/>
      <c r="I563" s="15"/>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8"/>
      <c r="AL563" s="9"/>
      <c r="AM563" s="9"/>
      <c r="AN563" s="11"/>
      <c r="AO563" s="11"/>
      <c r="AP563" s="11"/>
      <c r="AQ563" s="11"/>
      <c r="AR563" s="11"/>
      <c r="AS563" s="11"/>
      <c r="AT563" s="11"/>
      <c r="AU563" s="11"/>
      <c r="AV563" s="11"/>
      <c r="AW563" s="11"/>
      <c r="AX563" s="11"/>
      <c r="AY563" s="11"/>
      <c r="AZ563" s="11"/>
    </row>
    <row r="564" ht="15.75" customHeight="1">
      <c r="A564" s="12"/>
      <c r="B564" s="13"/>
      <c r="C564" s="14"/>
      <c r="D564" s="15"/>
      <c r="E564" s="15"/>
      <c r="F564" s="15"/>
      <c r="G564" s="15"/>
      <c r="H564" s="15"/>
      <c r="I564" s="15"/>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8"/>
      <c r="AL564" s="9"/>
      <c r="AM564" s="9"/>
      <c r="AN564" s="11"/>
      <c r="AO564" s="11"/>
      <c r="AP564" s="11"/>
      <c r="AQ564" s="11"/>
      <c r="AR564" s="11"/>
      <c r="AS564" s="11"/>
      <c r="AT564" s="11"/>
      <c r="AU564" s="11"/>
      <c r="AV564" s="11"/>
      <c r="AW564" s="11"/>
      <c r="AX564" s="11"/>
      <c r="AY564" s="11"/>
      <c r="AZ564" s="11"/>
    </row>
    <row r="565" ht="15.75" customHeight="1">
      <c r="A565" s="12"/>
      <c r="B565" s="13"/>
      <c r="C565" s="14"/>
      <c r="D565" s="15"/>
      <c r="E565" s="15"/>
      <c r="F565" s="15"/>
      <c r="G565" s="15"/>
      <c r="H565" s="15"/>
      <c r="I565" s="15"/>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8"/>
      <c r="AL565" s="9"/>
      <c r="AM565" s="9"/>
      <c r="AN565" s="11"/>
      <c r="AO565" s="11"/>
      <c r="AP565" s="11"/>
      <c r="AQ565" s="11"/>
      <c r="AR565" s="11"/>
      <c r="AS565" s="11"/>
      <c r="AT565" s="11"/>
      <c r="AU565" s="11"/>
      <c r="AV565" s="11"/>
      <c r="AW565" s="11"/>
      <c r="AX565" s="11"/>
      <c r="AY565" s="11"/>
      <c r="AZ565" s="11"/>
    </row>
    <row r="566" ht="15.75" customHeight="1">
      <c r="A566" s="12"/>
      <c r="B566" s="13"/>
      <c r="C566" s="14"/>
      <c r="D566" s="15"/>
      <c r="E566" s="15"/>
      <c r="F566" s="15"/>
      <c r="G566" s="15"/>
      <c r="H566" s="15"/>
      <c r="I566" s="15"/>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8"/>
      <c r="AL566" s="9"/>
      <c r="AM566" s="9"/>
      <c r="AN566" s="11"/>
      <c r="AO566" s="11"/>
      <c r="AP566" s="11"/>
      <c r="AQ566" s="11"/>
      <c r="AR566" s="11"/>
      <c r="AS566" s="11"/>
      <c r="AT566" s="11"/>
      <c r="AU566" s="11"/>
      <c r="AV566" s="11"/>
      <c r="AW566" s="11"/>
      <c r="AX566" s="11"/>
      <c r="AY566" s="11"/>
      <c r="AZ566" s="11"/>
    </row>
    <row r="567" ht="15.75" customHeight="1">
      <c r="A567" s="12"/>
      <c r="B567" s="13"/>
      <c r="C567" s="14"/>
      <c r="D567" s="15"/>
      <c r="E567" s="15"/>
      <c r="F567" s="15"/>
      <c r="G567" s="15"/>
      <c r="H567" s="15"/>
      <c r="I567" s="15"/>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8"/>
      <c r="AL567" s="9"/>
      <c r="AM567" s="9"/>
      <c r="AN567" s="11"/>
      <c r="AO567" s="11"/>
      <c r="AP567" s="11"/>
      <c r="AQ567" s="11"/>
      <c r="AR567" s="11"/>
      <c r="AS567" s="11"/>
      <c r="AT567" s="11"/>
      <c r="AU567" s="11"/>
      <c r="AV567" s="11"/>
      <c r="AW567" s="11"/>
      <c r="AX567" s="11"/>
      <c r="AY567" s="11"/>
      <c r="AZ567" s="11"/>
    </row>
    <row r="568" ht="15.75" customHeight="1">
      <c r="A568" s="12"/>
      <c r="B568" s="13"/>
      <c r="C568" s="14"/>
      <c r="D568" s="15"/>
      <c r="E568" s="15"/>
      <c r="F568" s="15"/>
      <c r="G568" s="15"/>
      <c r="H568" s="15"/>
      <c r="I568" s="15"/>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8"/>
      <c r="AL568" s="9"/>
      <c r="AM568" s="9"/>
      <c r="AN568" s="11"/>
      <c r="AO568" s="11"/>
      <c r="AP568" s="11"/>
      <c r="AQ568" s="11"/>
      <c r="AR568" s="11"/>
      <c r="AS568" s="11"/>
      <c r="AT568" s="11"/>
      <c r="AU568" s="11"/>
      <c r="AV568" s="11"/>
      <c r="AW568" s="11"/>
      <c r="AX568" s="11"/>
      <c r="AY568" s="11"/>
      <c r="AZ568" s="11"/>
    </row>
    <row r="569" ht="15.75" customHeight="1">
      <c r="A569" s="12"/>
      <c r="B569" s="13"/>
      <c r="C569" s="14"/>
      <c r="D569" s="15"/>
      <c r="E569" s="15"/>
      <c r="F569" s="15"/>
      <c r="G569" s="15"/>
      <c r="H569" s="15"/>
      <c r="I569" s="15"/>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8"/>
      <c r="AL569" s="9"/>
      <c r="AM569" s="9"/>
      <c r="AN569" s="11"/>
      <c r="AO569" s="11"/>
      <c r="AP569" s="11"/>
      <c r="AQ569" s="11"/>
      <c r="AR569" s="11"/>
      <c r="AS569" s="11"/>
      <c r="AT569" s="11"/>
      <c r="AU569" s="11"/>
      <c r="AV569" s="11"/>
      <c r="AW569" s="11"/>
      <c r="AX569" s="11"/>
      <c r="AY569" s="11"/>
      <c r="AZ569" s="11"/>
    </row>
    <row r="570" ht="15.75" customHeight="1">
      <c r="A570" s="12"/>
      <c r="B570" s="13"/>
      <c r="C570" s="14"/>
      <c r="D570" s="15"/>
      <c r="E570" s="15"/>
      <c r="F570" s="15"/>
      <c r="G570" s="15"/>
      <c r="H570" s="15"/>
      <c r="I570" s="15"/>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8"/>
      <c r="AL570" s="9"/>
      <c r="AM570" s="9"/>
      <c r="AN570" s="11"/>
      <c r="AO570" s="11"/>
      <c r="AP570" s="11"/>
      <c r="AQ570" s="11"/>
      <c r="AR570" s="11"/>
      <c r="AS570" s="11"/>
      <c r="AT570" s="11"/>
      <c r="AU570" s="11"/>
      <c r="AV570" s="11"/>
      <c r="AW570" s="11"/>
      <c r="AX570" s="11"/>
      <c r="AY570" s="11"/>
      <c r="AZ570" s="11"/>
    </row>
    <row r="571" ht="15.75" customHeight="1">
      <c r="A571" s="12"/>
      <c r="B571" s="13"/>
      <c r="C571" s="14"/>
      <c r="D571" s="15"/>
      <c r="E571" s="15"/>
      <c r="F571" s="15"/>
      <c r="G571" s="15"/>
      <c r="H571" s="15"/>
      <c r="I571" s="15"/>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8"/>
      <c r="AL571" s="9"/>
      <c r="AM571" s="9"/>
      <c r="AN571" s="11"/>
      <c r="AO571" s="11"/>
      <c r="AP571" s="11"/>
      <c r="AQ571" s="11"/>
      <c r="AR571" s="11"/>
      <c r="AS571" s="11"/>
      <c r="AT571" s="11"/>
      <c r="AU571" s="11"/>
      <c r="AV571" s="11"/>
      <c r="AW571" s="11"/>
      <c r="AX571" s="11"/>
      <c r="AY571" s="11"/>
      <c r="AZ571" s="11"/>
    </row>
    <row r="572" ht="15.75" customHeight="1">
      <c r="A572" s="12"/>
      <c r="B572" s="13"/>
      <c r="C572" s="14"/>
      <c r="D572" s="15"/>
      <c r="E572" s="15"/>
      <c r="F572" s="15"/>
      <c r="G572" s="15"/>
      <c r="H572" s="15"/>
      <c r="I572" s="15"/>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8"/>
      <c r="AL572" s="9"/>
      <c r="AM572" s="9"/>
      <c r="AN572" s="11"/>
      <c r="AO572" s="11"/>
      <c r="AP572" s="11"/>
      <c r="AQ572" s="11"/>
      <c r="AR572" s="11"/>
      <c r="AS572" s="11"/>
      <c r="AT572" s="11"/>
      <c r="AU572" s="11"/>
      <c r="AV572" s="11"/>
      <c r="AW572" s="11"/>
      <c r="AX572" s="11"/>
      <c r="AY572" s="11"/>
      <c r="AZ572" s="11"/>
    </row>
    <row r="573" ht="15.75" customHeight="1">
      <c r="A573" s="12"/>
      <c r="B573" s="13"/>
      <c r="C573" s="14"/>
      <c r="D573" s="15"/>
      <c r="E573" s="15"/>
      <c r="F573" s="15"/>
      <c r="G573" s="15"/>
      <c r="H573" s="15"/>
      <c r="I573" s="15"/>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8"/>
      <c r="AL573" s="9"/>
      <c r="AM573" s="9"/>
      <c r="AN573" s="11"/>
      <c r="AO573" s="11"/>
      <c r="AP573" s="11"/>
      <c r="AQ573" s="11"/>
      <c r="AR573" s="11"/>
      <c r="AS573" s="11"/>
      <c r="AT573" s="11"/>
      <c r="AU573" s="11"/>
      <c r="AV573" s="11"/>
      <c r="AW573" s="11"/>
      <c r="AX573" s="11"/>
      <c r="AY573" s="11"/>
      <c r="AZ573" s="11"/>
    </row>
    <row r="574" ht="15.75" customHeight="1">
      <c r="A574" s="12"/>
      <c r="B574" s="13"/>
      <c r="C574" s="14"/>
      <c r="D574" s="15"/>
      <c r="E574" s="15"/>
      <c r="F574" s="15"/>
      <c r="G574" s="15"/>
      <c r="H574" s="15"/>
      <c r="I574" s="15"/>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8"/>
      <c r="AL574" s="9"/>
      <c r="AM574" s="9"/>
      <c r="AN574" s="11"/>
      <c r="AO574" s="11"/>
      <c r="AP574" s="11"/>
      <c r="AQ574" s="11"/>
      <c r="AR574" s="11"/>
      <c r="AS574" s="11"/>
      <c r="AT574" s="11"/>
      <c r="AU574" s="11"/>
      <c r="AV574" s="11"/>
      <c r="AW574" s="11"/>
      <c r="AX574" s="11"/>
      <c r="AY574" s="11"/>
      <c r="AZ574" s="11"/>
    </row>
    <row r="575" ht="15.75" customHeight="1">
      <c r="A575" s="12"/>
      <c r="B575" s="13"/>
      <c r="C575" s="14"/>
      <c r="D575" s="15"/>
      <c r="E575" s="15"/>
      <c r="F575" s="15"/>
      <c r="G575" s="15"/>
      <c r="H575" s="15"/>
      <c r="I575" s="15"/>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8"/>
      <c r="AL575" s="9"/>
      <c r="AM575" s="9"/>
      <c r="AN575" s="11"/>
      <c r="AO575" s="11"/>
      <c r="AP575" s="11"/>
      <c r="AQ575" s="11"/>
      <c r="AR575" s="11"/>
      <c r="AS575" s="11"/>
      <c r="AT575" s="11"/>
      <c r="AU575" s="11"/>
      <c r="AV575" s="11"/>
      <c r="AW575" s="11"/>
      <c r="AX575" s="11"/>
      <c r="AY575" s="11"/>
      <c r="AZ575" s="11"/>
    </row>
    <row r="576" ht="15.75" customHeight="1">
      <c r="A576" s="12"/>
      <c r="B576" s="13"/>
      <c r="C576" s="14"/>
      <c r="D576" s="15"/>
      <c r="E576" s="15"/>
      <c r="F576" s="15"/>
      <c r="G576" s="15"/>
      <c r="H576" s="15"/>
      <c r="I576" s="15"/>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8"/>
      <c r="AL576" s="9"/>
      <c r="AM576" s="9"/>
      <c r="AN576" s="11"/>
      <c r="AO576" s="11"/>
      <c r="AP576" s="11"/>
      <c r="AQ576" s="11"/>
      <c r="AR576" s="11"/>
      <c r="AS576" s="11"/>
      <c r="AT576" s="11"/>
      <c r="AU576" s="11"/>
      <c r="AV576" s="11"/>
      <c r="AW576" s="11"/>
      <c r="AX576" s="11"/>
      <c r="AY576" s="11"/>
      <c r="AZ576" s="11"/>
    </row>
    <row r="577" ht="15.75" customHeight="1">
      <c r="A577" s="12"/>
      <c r="B577" s="13"/>
      <c r="C577" s="14"/>
      <c r="D577" s="15"/>
      <c r="E577" s="15"/>
      <c r="F577" s="15"/>
      <c r="G577" s="15"/>
      <c r="H577" s="15"/>
      <c r="I577" s="15"/>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8"/>
      <c r="AL577" s="9"/>
      <c r="AM577" s="9"/>
      <c r="AN577" s="11"/>
      <c r="AO577" s="11"/>
      <c r="AP577" s="11"/>
      <c r="AQ577" s="11"/>
      <c r="AR577" s="11"/>
      <c r="AS577" s="11"/>
      <c r="AT577" s="11"/>
      <c r="AU577" s="11"/>
      <c r="AV577" s="11"/>
      <c r="AW577" s="11"/>
      <c r="AX577" s="11"/>
      <c r="AY577" s="11"/>
      <c r="AZ577" s="11"/>
    </row>
    <row r="578" ht="15.75" customHeight="1">
      <c r="A578" s="12"/>
      <c r="B578" s="13"/>
      <c r="C578" s="14"/>
      <c r="D578" s="15"/>
      <c r="E578" s="15"/>
      <c r="F578" s="15"/>
      <c r="G578" s="15"/>
      <c r="H578" s="15"/>
      <c r="I578" s="15"/>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8"/>
      <c r="AL578" s="9"/>
      <c r="AM578" s="9"/>
      <c r="AN578" s="11"/>
      <c r="AO578" s="11"/>
      <c r="AP578" s="11"/>
      <c r="AQ578" s="11"/>
      <c r="AR578" s="11"/>
      <c r="AS578" s="11"/>
      <c r="AT578" s="11"/>
      <c r="AU578" s="11"/>
      <c r="AV578" s="11"/>
      <c r="AW578" s="11"/>
      <c r="AX578" s="11"/>
      <c r="AY578" s="11"/>
      <c r="AZ578" s="11"/>
    </row>
    <row r="579" ht="15.75" customHeight="1">
      <c r="A579" s="12"/>
      <c r="B579" s="13"/>
      <c r="C579" s="14"/>
      <c r="D579" s="15"/>
      <c r="E579" s="15"/>
      <c r="F579" s="15"/>
      <c r="G579" s="15"/>
      <c r="H579" s="15"/>
      <c r="I579" s="15"/>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8"/>
      <c r="AL579" s="9"/>
      <c r="AM579" s="9"/>
      <c r="AN579" s="11"/>
      <c r="AO579" s="11"/>
      <c r="AP579" s="11"/>
      <c r="AQ579" s="11"/>
      <c r="AR579" s="11"/>
      <c r="AS579" s="11"/>
      <c r="AT579" s="11"/>
      <c r="AU579" s="11"/>
      <c r="AV579" s="11"/>
      <c r="AW579" s="11"/>
      <c r="AX579" s="11"/>
      <c r="AY579" s="11"/>
      <c r="AZ579" s="11"/>
    </row>
    <row r="580" ht="15.75" customHeight="1">
      <c r="A580" s="12"/>
      <c r="B580" s="13"/>
      <c r="C580" s="14"/>
      <c r="D580" s="15"/>
      <c r="E580" s="15"/>
      <c r="F580" s="15"/>
      <c r="G580" s="15"/>
      <c r="H580" s="15"/>
      <c r="I580" s="15"/>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8"/>
      <c r="AL580" s="9"/>
      <c r="AM580" s="9"/>
      <c r="AN580" s="11"/>
      <c r="AO580" s="11"/>
      <c r="AP580" s="11"/>
      <c r="AQ580" s="11"/>
      <c r="AR580" s="11"/>
      <c r="AS580" s="11"/>
      <c r="AT580" s="11"/>
      <c r="AU580" s="11"/>
      <c r="AV580" s="11"/>
      <c r="AW580" s="11"/>
      <c r="AX580" s="11"/>
      <c r="AY580" s="11"/>
      <c r="AZ580" s="11"/>
    </row>
    <row r="581" ht="15.75" customHeight="1">
      <c r="A581" s="12"/>
      <c r="B581" s="13"/>
      <c r="C581" s="14"/>
      <c r="D581" s="15"/>
      <c r="E581" s="15"/>
      <c r="F581" s="15"/>
      <c r="G581" s="15"/>
      <c r="H581" s="15"/>
      <c r="I581" s="15"/>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8"/>
      <c r="AL581" s="9"/>
      <c r="AM581" s="9"/>
      <c r="AN581" s="11"/>
      <c r="AO581" s="11"/>
      <c r="AP581" s="11"/>
      <c r="AQ581" s="11"/>
      <c r="AR581" s="11"/>
      <c r="AS581" s="11"/>
      <c r="AT581" s="11"/>
      <c r="AU581" s="11"/>
      <c r="AV581" s="11"/>
      <c r="AW581" s="11"/>
      <c r="AX581" s="11"/>
      <c r="AY581" s="11"/>
      <c r="AZ581" s="11"/>
    </row>
    <row r="582" ht="15.75" customHeight="1">
      <c r="A582" s="12"/>
      <c r="B582" s="13"/>
      <c r="C582" s="14"/>
      <c r="D582" s="15"/>
      <c r="E582" s="15"/>
      <c r="F582" s="15"/>
      <c r="G582" s="15"/>
      <c r="H582" s="15"/>
      <c r="I582" s="15"/>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8"/>
      <c r="AL582" s="9"/>
      <c r="AM582" s="9"/>
      <c r="AN582" s="11"/>
      <c r="AO582" s="11"/>
      <c r="AP582" s="11"/>
      <c r="AQ582" s="11"/>
      <c r="AR582" s="11"/>
      <c r="AS582" s="11"/>
      <c r="AT582" s="11"/>
      <c r="AU582" s="11"/>
      <c r="AV582" s="11"/>
      <c r="AW582" s="11"/>
      <c r="AX582" s="11"/>
      <c r="AY582" s="11"/>
      <c r="AZ582" s="11"/>
    </row>
    <row r="583" ht="15.75" customHeight="1">
      <c r="A583" s="12"/>
      <c r="B583" s="13"/>
      <c r="C583" s="14"/>
      <c r="D583" s="15"/>
      <c r="E583" s="15"/>
      <c r="F583" s="15"/>
      <c r="G583" s="15"/>
      <c r="H583" s="15"/>
      <c r="I583" s="15"/>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8"/>
      <c r="AL583" s="9"/>
      <c r="AM583" s="9"/>
      <c r="AN583" s="11"/>
      <c r="AO583" s="11"/>
      <c r="AP583" s="11"/>
      <c r="AQ583" s="11"/>
      <c r="AR583" s="11"/>
      <c r="AS583" s="11"/>
      <c r="AT583" s="11"/>
      <c r="AU583" s="11"/>
      <c r="AV583" s="11"/>
      <c r="AW583" s="11"/>
      <c r="AX583" s="11"/>
      <c r="AY583" s="11"/>
      <c r="AZ583" s="11"/>
    </row>
    <row r="584" ht="15.75" customHeight="1">
      <c r="A584" s="12"/>
      <c r="B584" s="13"/>
      <c r="C584" s="14"/>
      <c r="D584" s="15"/>
      <c r="E584" s="15"/>
      <c r="F584" s="15"/>
      <c r="G584" s="15"/>
      <c r="H584" s="15"/>
      <c r="I584" s="15"/>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8"/>
      <c r="AL584" s="9"/>
      <c r="AM584" s="9"/>
      <c r="AN584" s="11"/>
      <c r="AO584" s="11"/>
      <c r="AP584" s="11"/>
      <c r="AQ584" s="11"/>
      <c r="AR584" s="11"/>
      <c r="AS584" s="11"/>
      <c r="AT584" s="11"/>
      <c r="AU584" s="11"/>
      <c r="AV584" s="11"/>
      <c r="AW584" s="11"/>
      <c r="AX584" s="11"/>
      <c r="AY584" s="11"/>
      <c r="AZ584" s="11"/>
    </row>
    <row r="585" ht="15.75" customHeight="1">
      <c r="A585" s="12"/>
      <c r="B585" s="13"/>
      <c r="C585" s="14"/>
      <c r="D585" s="15"/>
      <c r="E585" s="15"/>
      <c r="F585" s="15"/>
      <c r="G585" s="15"/>
      <c r="H585" s="15"/>
      <c r="I585" s="15"/>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8"/>
      <c r="AL585" s="9"/>
      <c r="AM585" s="9"/>
      <c r="AN585" s="11"/>
      <c r="AO585" s="11"/>
      <c r="AP585" s="11"/>
      <c r="AQ585" s="11"/>
      <c r="AR585" s="11"/>
      <c r="AS585" s="11"/>
      <c r="AT585" s="11"/>
      <c r="AU585" s="11"/>
      <c r="AV585" s="11"/>
      <c r="AW585" s="11"/>
      <c r="AX585" s="11"/>
      <c r="AY585" s="11"/>
      <c r="AZ585" s="11"/>
    </row>
    <row r="586" ht="15.75" customHeight="1">
      <c r="A586" s="12"/>
      <c r="B586" s="13"/>
      <c r="C586" s="14"/>
      <c r="D586" s="15"/>
      <c r="E586" s="15"/>
      <c r="F586" s="15"/>
      <c r="G586" s="15"/>
      <c r="H586" s="15"/>
      <c r="I586" s="15"/>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8"/>
      <c r="AL586" s="9"/>
      <c r="AM586" s="9"/>
      <c r="AN586" s="11"/>
      <c r="AO586" s="11"/>
      <c r="AP586" s="11"/>
      <c r="AQ586" s="11"/>
      <c r="AR586" s="11"/>
      <c r="AS586" s="11"/>
      <c r="AT586" s="11"/>
      <c r="AU586" s="11"/>
      <c r="AV586" s="11"/>
      <c r="AW586" s="11"/>
      <c r="AX586" s="11"/>
      <c r="AY586" s="11"/>
      <c r="AZ586" s="11"/>
    </row>
    <row r="587" ht="15.75" customHeight="1">
      <c r="A587" s="12"/>
      <c r="B587" s="13"/>
      <c r="C587" s="14"/>
      <c r="D587" s="15"/>
      <c r="E587" s="15"/>
      <c r="F587" s="15"/>
      <c r="G587" s="15"/>
      <c r="H587" s="15"/>
      <c r="I587" s="15"/>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8"/>
      <c r="AL587" s="9"/>
      <c r="AM587" s="9"/>
      <c r="AN587" s="11"/>
      <c r="AO587" s="11"/>
      <c r="AP587" s="11"/>
      <c r="AQ587" s="11"/>
      <c r="AR587" s="11"/>
      <c r="AS587" s="11"/>
      <c r="AT587" s="11"/>
      <c r="AU587" s="11"/>
      <c r="AV587" s="11"/>
      <c r="AW587" s="11"/>
      <c r="AX587" s="11"/>
      <c r="AY587" s="11"/>
      <c r="AZ587" s="11"/>
    </row>
    <row r="588" ht="15.75" customHeight="1">
      <c r="A588" s="12"/>
      <c r="B588" s="13"/>
      <c r="C588" s="14"/>
      <c r="D588" s="15"/>
      <c r="E588" s="15"/>
      <c r="F588" s="15"/>
      <c r="G588" s="15"/>
      <c r="H588" s="15"/>
      <c r="I588" s="15"/>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8"/>
      <c r="AL588" s="9"/>
      <c r="AM588" s="9"/>
      <c r="AN588" s="11"/>
      <c r="AO588" s="11"/>
      <c r="AP588" s="11"/>
      <c r="AQ588" s="11"/>
      <c r="AR588" s="11"/>
      <c r="AS588" s="11"/>
      <c r="AT588" s="11"/>
      <c r="AU588" s="11"/>
      <c r="AV588" s="11"/>
      <c r="AW588" s="11"/>
      <c r="AX588" s="11"/>
      <c r="AY588" s="11"/>
      <c r="AZ588" s="11"/>
    </row>
    <row r="589" ht="15.75" customHeight="1">
      <c r="A589" s="12"/>
      <c r="B589" s="13"/>
      <c r="C589" s="14"/>
      <c r="D589" s="15"/>
      <c r="E589" s="15"/>
      <c r="F589" s="15"/>
      <c r="G589" s="15"/>
      <c r="H589" s="15"/>
      <c r="I589" s="15"/>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8"/>
      <c r="AL589" s="9"/>
      <c r="AM589" s="9"/>
      <c r="AN589" s="11"/>
      <c r="AO589" s="11"/>
      <c r="AP589" s="11"/>
      <c r="AQ589" s="11"/>
      <c r="AR589" s="11"/>
      <c r="AS589" s="11"/>
      <c r="AT589" s="11"/>
      <c r="AU589" s="11"/>
      <c r="AV589" s="11"/>
      <c r="AW589" s="11"/>
      <c r="AX589" s="11"/>
      <c r="AY589" s="11"/>
      <c r="AZ589" s="11"/>
    </row>
    <row r="590" ht="15.75" customHeight="1">
      <c r="A590" s="12"/>
      <c r="B590" s="13"/>
      <c r="C590" s="14"/>
      <c r="D590" s="15"/>
      <c r="E590" s="15"/>
      <c r="F590" s="15"/>
      <c r="G590" s="15"/>
      <c r="H590" s="15"/>
      <c r="I590" s="15"/>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8"/>
      <c r="AL590" s="9"/>
      <c r="AM590" s="9"/>
      <c r="AN590" s="11"/>
      <c r="AO590" s="11"/>
      <c r="AP590" s="11"/>
      <c r="AQ590" s="11"/>
      <c r="AR590" s="11"/>
      <c r="AS590" s="11"/>
      <c r="AT590" s="11"/>
      <c r="AU590" s="11"/>
      <c r="AV590" s="11"/>
      <c r="AW590" s="11"/>
      <c r="AX590" s="11"/>
      <c r="AY590" s="11"/>
      <c r="AZ590" s="11"/>
    </row>
    <row r="591" ht="15.75" customHeight="1">
      <c r="A591" s="12"/>
      <c r="B591" s="13"/>
      <c r="C591" s="14"/>
      <c r="D591" s="15"/>
      <c r="E591" s="15"/>
      <c r="F591" s="15"/>
      <c r="G591" s="15"/>
      <c r="H591" s="15"/>
      <c r="I591" s="15"/>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8"/>
      <c r="AL591" s="9"/>
      <c r="AM591" s="9"/>
      <c r="AN591" s="11"/>
      <c r="AO591" s="11"/>
      <c r="AP591" s="11"/>
      <c r="AQ591" s="11"/>
      <c r="AR591" s="11"/>
      <c r="AS591" s="11"/>
      <c r="AT591" s="11"/>
      <c r="AU591" s="11"/>
      <c r="AV591" s="11"/>
      <c r="AW591" s="11"/>
      <c r="AX591" s="11"/>
      <c r="AY591" s="11"/>
      <c r="AZ591" s="11"/>
    </row>
    <row r="592" ht="15.75" customHeight="1">
      <c r="A592" s="12"/>
      <c r="B592" s="13"/>
      <c r="C592" s="14"/>
      <c r="D592" s="15"/>
      <c r="E592" s="15"/>
      <c r="F592" s="15"/>
      <c r="G592" s="15"/>
      <c r="H592" s="15"/>
      <c r="I592" s="15"/>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8"/>
      <c r="AL592" s="9"/>
      <c r="AM592" s="9"/>
      <c r="AN592" s="11"/>
      <c r="AO592" s="11"/>
      <c r="AP592" s="11"/>
      <c r="AQ592" s="11"/>
      <c r="AR592" s="11"/>
      <c r="AS592" s="11"/>
      <c r="AT592" s="11"/>
      <c r="AU592" s="11"/>
      <c r="AV592" s="11"/>
      <c r="AW592" s="11"/>
      <c r="AX592" s="11"/>
      <c r="AY592" s="11"/>
      <c r="AZ592" s="11"/>
    </row>
    <row r="593" ht="15.75" customHeight="1">
      <c r="A593" s="12"/>
      <c r="B593" s="13"/>
      <c r="C593" s="14"/>
      <c r="D593" s="15"/>
      <c r="E593" s="15"/>
      <c r="F593" s="15"/>
      <c r="G593" s="15"/>
      <c r="H593" s="15"/>
      <c r="I593" s="15"/>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8"/>
      <c r="AL593" s="9"/>
      <c r="AM593" s="9"/>
      <c r="AN593" s="11"/>
      <c r="AO593" s="11"/>
      <c r="AP593" s="11"/>
      <c r="AQ593" s="11"/>
      <c r="AR593" s="11"/>
      <c r="AS593" s="11"/>
      <c r="AT593" s="11"/>
      <c r="AU593" s="11"/>
      <c r="AV593" s="11"/>
      <c r="AW593" s="11"/>
      <c r="AX593" s="11"/>
      <c r="AY593" s="11"/>
      <c r="AZ593" s="11"/>
    </row>
    <row r="594" ht="15.75" customHeight="1">
      <c r="A594" s="12"/>
      <c r="B594" s="13"/>
      <c r="C594" s="14"/>
      <c r="D594" s="15"/>
      <c r="E594" s="15"/>
      <c r="F594" s="15"/>
      <c r="G594" s="15"/>
      <c r="H594" s="15"/>
      <c r="I594" s="15"/>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8"/>
      <c r="AL594" s="9"/>
      <c r="AM594" s="9"/>
      <c r="AN594" s="11"/>
      <c r="AO594" s="11"/>
      <c r="AP594" s="11"/>
      <c r="AQ594" s="11"/>
      <c r="AR594" s="11"/>
      <c r="AS594" s="11"/>
      <c r="AT594" s="11"/>
      <c r="AU594" s="11"/>
      <c r="AV594" s="11"/>
      <c r="AW594" s="11"/>
      <c r="AX594" s="11"/>
      <c r="AY594" s="11"/>
      <c r="AZ594" s="11"/>
    </row>
    <row r="595" ht="15.75" customHeight="1">
      <c r="A595" s="12"/>
      <c r="B595" s="13"/>
      <c r="C595" s="14"/>
      <c r="D595" s="15"/>
      <c r="E595" s="15"/>
      <c r="F595" s="15"/>
      <c r="G595" s="15"/>
      <c r="H595" s="15"/>
      <c r="I595" s="15"/>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8"/>
      <c r="AL595" s="9"/>
      <c r="AM595" s="9"/>
      <c r="AN595" s="11"/>
      <c r="AO595" s="11"/>
      <c r="AP595" s="11"/>
      <c r="AQ595" s="11"/>
      <c r="AR595" s="11"/>
      <c r="AS595" s="11"/>
      <c r="AT595" s="11"/>
      <c r="AU595" s="11"/>
      <c r="AV595" s="11"/>
      <c r="AW595" s="11"/>
      <c r="AX595" s="11"/>
      <c r="AY595" s="11"/>
      <c r="AZ595" s="11"/>
    </row>
    <row r="596" ht="15.75" customHeight="1">
      <c r="A596" s="12"/>
      <c r="B596" s="13"/>
      <c r="C596" s="14"/>
      <c r="D596" s="15"/>
      <c r="E596" s="15"/>
      <c r="F596" s="15"/>
      <c r="G596" s="15"/>
      <c r="H596" s="15"/>
      <c r="I596" s="15"/>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8"/>
      <c r="AL596" s="9"/>
      <c r="AM596" s="9"/>
      <c r="AN596" s="11"/>
      <c r="AO596" s="11"/>
      <c r="AP596" s="11"/>
      <c r="AQ596" s="11"/>
      <c r="AR596" s="11"/>
      <c r="AS596" s="11"/>
      <c r="AT596" s="11"/>
      <c r="AU596" s="11"/>
      <c r="AV596" s="11"/>
      <c r="AW596" s="11"/>
      <c r="AX596" s="11"/>
      <c r="AY596" s="11"/>
      <c r="AZ596" s="11"/>
    </row>
    <row r="597" ht="15.75" customHeight="1">
      <c r="A597" s="12"/>
      <c r="B597" s="13"/>
      <c r="C597" s="14"/>
      <c r="D597" s="15"/>
      <c r="E597" s="15"/>
      <c r="F597" s="15"/>
      <c r="G597" s="15"/>
      <c r="H597" s="15"/>
      <c r="I597" s="15"/>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8"/>
      <c r="AL597" s="9"/>
      <c r="AM597" s="9"/>
      <c r="AN597" s="11"/>
      <c r="AO597" s="11"/>
      <c r="AP597" s="11"/>
      <c r="AQ597" s="11"/>
      <c r="AR597" s="11"/>
      <c r="AS597" s="11"/>
      <c r="AT597" s="11"/>
      <c r="AU597" s="11"/>
      <c r="AV597" s="11"/>
      <c r="AW597" s="11"/>
      <c r="AX597" s="11"/>
      <c r="AY597" s="11"/>
      <c r="AZ597" s="11"/>
    </row>
    <row r="598" ht="15.75" customHeight="1">
      <c r="A598" s="12"/>
      <c r="B598" s="13"/>
      <c r="C598" s="14"/>
      <c r="D598" s="15"/>
      <c r="E598" s="15"/>
      <c r="F598" s="15"/>
      <c r="G598" s="15"/>
      <c r="H598" s="15"/>
      <c r="I598" s="15"/>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8"/>
      <c r="AL598" s="9"/>
      <c r="AM598" s="9"/>
      <c r="AN598" s="11"/>
      <c r="AO598" s="11"/>
      <c r="AP598" s="11"/>
      <c r="AQ598" s="11"/>
      <c r="AR598" s="11"/>
      <c r="AS598" s="11"/>
      <c r="AT598" s="11"/>
      <c r="AU598" s="11"/>
      <c r="AV598" s="11"/>
      <c r="AW598" s="11"/>
      <c r="AX598" s="11"/>
      <c r="AY598" s="11"/>
      <c r="AZ598" s="11"/>
    </row>
    <row r="599" ht="15.75" customHeight="1">
      <c r="A599" s="12"/>
      <c r="B599" s="13"/>
      <c r="C599" s="14"/>
      <c r="D599" s="15"/>
      <c r="E599" s="15"/>
      <c r="F599" s="15"/>
      <c r="G599" s="15"/>
      <c r="H599" s="15"/>
      <c r="I599" s="15"/>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8"/>
      <c r="AL599" s="9"/>
      <c r="AM599" s="9"/>
      <c r="AN599" s="11"/>
      <c r="AO599" s="11"/>
      <c r="AP599" s="11"/>
      <c r="AQ599" s="11"/>
      <c r="AR599" s="11"/>
      <c r="AS599" s="11"/>
      <c r="AT599" s="11"/>
      <c r="AU599" s="11"/>
      <c r="AV599" s="11"/>
      <c r="AW599" s="11"/>
      <c r="AX599" s="11"/>
      <c r="AY599" s="11"/>
      <c r="AZ599" s="11"/>
    </row>
    <row r="600" ht="15.75" customHeight="1">
      <c r="A600" s="12"/>
      <c r="B600" s="13"/>
      <c r="C600" s="14"/>
      <c r="D600" s="15"/>
      <c r="E600" s="15"/>
      <c r="F600" s="15"/>
      <c r="G600" s="15"/>
      <c r="H600" s="15"/>
      <c r="I600" s="15"/>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8"/>
      <c r="AL600" s="9"/>
      <c r="AM600" s="9"/>
      <c r="AN600" s="11"/>
      <c r="AO600" s="11"/>
      <c r="AP600" s="11"/>
      <c r="AQ600" s="11"/>
      <c r="AR600" s="11"/>
      <c r="AS600" s="11"/>
      <c r="AT600" s="11"/>
      <c r="AU600" s="11"/>
      <c r="AV600" s="11"/>
      <c r="AW600" s="11"/>
      <c r="AX600" s="11"/>
      <c r="AY600" s="11"/>
      <c r="AZ600" s="11"/>
    </row>
    <row r="601" ht="15.75" customHeight="1">
      <c r="A601" s="12"/>
      <c r="B601" s="13"/>
      <c r="C601" s="14"/>
      <c r="D601" s="15"/>
      <c r="E601" s="15"/>
      <c r="F601" s="15"/>
      <c r="G601" s="15"/>
      <c r="H601" s="15"/>
      <c r="I601" s="15"/>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8"/>
      <c r="AL601" s="9"/>
      <c r="AM601" s="9"/>
      <c r="AN601" s="11"/>
      <c r="AO601" s="11"/>
      <c r="AP601" s="11"/>
      <c r="AQ601" s="11"/>
      <c r="AR601" s="11"/>
      <c r="AS601" s="11"/>
      <c r="AT601" s="11"/>
      <c r="AU601" s="11"/>
      <c r="AV601" s="11"/>
      <c r="AW601" s="11"/>
      <c r="AX601" s="11"/>
      <c r="AY601" s="11"/>
      <c r="AZ601" s="11"/>
    </row>
    <row r="602" ht="15.75" customHeight="1">
      <c r="A602" s="12"/>
      <c r="B602" s="13"/>
      <c r="C602" s="14"/>
      <c r="D602" s="15"/>
      <c r="E602" s="15"/>
      <c r="F602" s="15"/>
      <c r="G602" s="15"/>
      <c r="H602" s="15"/>
      <c r="I602" s="15"/>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8"/>
      <c r="AL602" s="9"/>
      <c r="AM602" s="9"/>
      <c r="AN602" s="11"/>
      <c r="AO602" s="11"/>
      <c r="AP602" s="11"/>
      <c r="AQ602" s="11"/>
      <c r="AR602" s="11"/>
      <c r="AS602" s="11"/>
      <c r="AT602" s="11"/>
      <c r="AU602" s="11"/>
      <c r="AV602" s="11"/>
      <c r="AW602" s="11"/>
      <c r="AX602" s="11"/>
      <c r="AY602" s="11"/>
      <c r="AZ602" s="11"/>
    </row>
    <row r="603" ht="15.75" customHeight="1">
      <c r="A603" s="12"/>
      <c r="B603" s="13"/>
      <c r="C603" s="14"/>
      <c r="D603" s="15"/>
      <c r="E603" s="15"/>
      <c r="F603" s="15"/>
      <c r="G603" s="15"/>
      <c r="H603" s="15"/>
      <c r="I603" s="15"/>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8"/>
      <c r="AL603" s="9"/>
      <c r="AM603" s="9"/>
      <c r="AN603" s="11"/>
      <c r="AO603" s="11"/>
      <c r="AP603" s="11"/>
      <c r="AQ603" s="11"/>
      <c r="AR603" s="11"/>
      <c r="AS603" s="11"/>
      <c r="AT603" s="11"/>
      <c r="AU603" s="11"/>
      <c r="AV603" s="11"/>
      <c r="AW603" s="11"/>
      <c r="AX603" s="11"/>
      <c r="AY603" s="11"/>
      <c r="AZ603" s="11"/>
    </row>
    <row r="604" ht="15.75" customHeight="1">
      <c r="A604" s="12"/>
      <c r="B604" s="13"/>
      <c r="C604" s="14"/>
      <c r="D604" s="15"/>
      <c r="E604" s="15"/>
      <c r="F604" s="15"/>
      <c r="G604" s="15"/>
      <c r="H604" s="15"/>
      <c r="I604" s="15"/>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8"/>
      <c r="AL604" s="9"/>
      <c r="AM604" s="9"/>
      <c r="AN604" s="11"/>
      <c r="AO604" s="11"/>
      <c r="AP604" s="11"/>
      <c r="AQ604" s="11"/>
      <c r="AR604" s="11"/>
      <c r="AS604" s="11"/>
      <c r="AT604" s="11"/>
      <c r="AU604" s="11"/>
      <c r="AV604" s="11"/>
      <c r="AW604" s="11"/>
      <c r="AX604" s="11"/>
      <c r="AY604" s="11"/>
      <c r="AZ604" s="11"/>
    </row>
    <row r="605" ht="15.75" customHeight="1">
      <c r="A605" s="12"/>
      <c r="B605" s="13"/>
      <c r="C605" s="14"/>
      <c r="D605" s="15"/>
      <c r="E605" s="15"/>
      <c r="F605" s="15"/>
      <c r="G605" s="15"/>
      <c r="H605" s="15"/>
      <c r="I605" s="15"/>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8"/>
      <c r="AL605" s="9"/>
      <c r="AM605" s="9"/>
      <c r="AN605" s="11"/>
      <c r="AO605" s="11"/>
      <c r="AP605" s="11"/>
      <c r="AQ605" s="11"/>
      <c r="AR605" s="11"/>
      <c r="AS605" s="11"/>
      <c r="AT605" s="11"/>
      <c r="AU605" s="11"/>
      <c r="AV605" s="11"/>
      <c r="AW605" s="11"/>
      <c r="AX605" s="11"/>
      <c r="AY605" s="11"/>
      <c r="AZ605" s="11"/>
    </row>
    <row r="606" ht="15.75" customHeight="1">
      <c r="A606" s="12"/>
      <c r="B606" s="13"/>
      <c r="C606" s="14"/>
      <c r="D606" s="15"/>
      <c r="E606" s="15"/>
      <c r="F606" s="15"/>
      <c r="G606" s="15"/>
      <c r="H606" s="15"/>
      <c r="I606" s="15"/>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8"/>
      <c r="AL606" s="9"/>
      <c r="AM606" s="9"/>
      <c r="AN606" s="11"/>
      <c r="AO606" s="11"/>
      <c r="AP606" s="11"/>
      <c r="AQ606" s="11"/>
      <c r="AR606" s="11"/>
      <c r="AS606" s="11"/>
      <c r="AT606" s="11"/>
      <c r="AU606" s="11"/>
      <c r="AV606" s="11"/>
      <c r="AW606" s="11"/>
      <c r="AX606" s="11"/>
      <c r="AY606" s="11"/>
      <c r="AZ606" s="11"/>
    </row>
    <row r="607" ht="15.75" customHeight="1">
      <c r="A607" s="12"/>
      <c r="B607" s="13"/>
      <c r="C607" s="14"/>
      <c r="D607" s="15"/>
      <c r="E607" s="15"/>
      <c r="F607" s="15"/>
      <c r="G607" s="15"/>
      <c r="H607" s="15"/>
      <c r="I607" s="15"/>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8"/>
      <c r="AL607" s="9"/>
      <c r="AM607" s="9"/>
      <c r="AN607" s="11"/>
      <c r="AO607" s="11"/>
      <c r="AP607" s="11"/>
      <c r="AQ607" s="11"/>
      <c r="AR607" s="11"/>
      <c r="AS607" s="11"/>
      <c r="AT607" s="11"/>
      <c r="AU607" s="11"/>
      <c r="AV607" s="11"/>
      <c r="AW607" s="11"/>
      <c r="AX607" s="11"/>
      <c r="AY607" s="11"/>
      <c r="AZ607" s="11"/>
    </row>
    <row r="608" ht="15.75" customHeight="1">
      <c r="A608" s="12"/>
      <c r="B608" s="13"/>
      <c r="C608" s="14"/>
      <c r="D608" s="15"/>
      <c r="E608" s="15"/>
      <c r="F608" s="15"/>
      <c r="G608" s="15"/>
      <c r="H608" s="15"/>
      <c r="I608" s="15"/>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8"/>
      <c r="AL608" s="9"/>
      <c r="AM608" s="9"/>
      <c r="AN608" s="11"/>
      <c r="AO608" s="11"/>
      <c r="AP608" s="11"/>
      <c r="AQ608" s="11"/>
      <c r="AR608" s="11"/>
      <c r="AS608" s="11"/>
      <c r="AT608" s="11"/>
      <c r="AU608" s="11"/>
      <c r="AV608" s="11"/>
      <c r="AW608" s="11"/>
      <c r="AX608" s="11"/>
      <c r="AY608" s="11"/>
      <c r="AZ608" s="11"/>
    </row>
    <row r="609" ht="15.75" customHeight="1">
      <c r="A609" s="12"/>
      <c r="B609" s="13"/>
      <c r="C609" s="14"/>
      <c r="D609" s="15"/>
      <c r="E609" s="15"/>
      <c r="F609" s="15"/>
      <c r="G609" s="15"/>
      <c r="H609" s="15"/>
      <c r="I609" s="15"/>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8"/>
      <c r="AL609" s="9"/>
      <c r="AM609" s="9"/>
      <c r="AN609" s="11"/>
      <c r="AO609" s="11"/>
      <c r="AP609" s="11"/>
      <c r="AQ609" s="11"/>
      <c r="AR609" s="11"/>
      <c r="AS609" s="11"/>
      <c r="AT609" s="11"/>
      <c r="AU609" s="11"/>
      <c r="AV609" s="11"/>
      <c r="AW609" s="11"/>
      <c r="AX609" s="11"/>
      <c r="AY609" s="11"/>
      <c r="AZ609" s="11"/>
    </row>
    <row r="610" ht="15.75" customHeight="1">
      <c r="A610" s="12"/>
      <c r="B610" s="13"/>
      <c r="C610" s="14"/>
      <c r="D610" s="15"/>
      <c r="E610" s="15"/>
      <c r="F610" s="15"/>
      <c r="G610" s="15"/>
      <c r="H610" s="15"/>
      <c r="I610" s="15"/>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8"/>
      <c r="AL610" s="9"/>
      <c r="AM610" s="9"/>
      <c r="AN610" s="11"/>
      <c r="AO610" s="11"/>
      <c r="AP610" s="11"/>
      <c r="AQ610" s="11"/>
      <c r="AR610" s="11"/>
      <c r="AS610" s="11"/>
      <c r="AT610" s="11"/>
      <c r="AU610" s="11"/>
      <c r="AV610" s="11"/>
      <c r="AW610" s="11"/>
      <c r="AX610" s="11"/>
      <c r="AY610" s="11"/>
      <c r="AZ610" s="11"/>
    </row>
    <row r="611" ht="15.75" customHeight="1">
      <c r="A611" s="12"/>
      <c r="B611" s="13"/>
      <c r="C611" s="14"/>
      <c r="D611" s="15"/>
      <c r="E611" s="15"/>
      <c r="F611" s="15"/>
      <c r="G611" s="15"/>
      <c r="H611" s="15"/>
      <c r="I611" s="15"/>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8"/>
      <c r="AL611" s="9"/>
      <c r="AM611" s="9"/>
      <c r="AN611" s="11"/>
      <c r="AO611" s="11"/>
      <c r="AP611" s="11"/>
      <c r="AQ611" s="11"/>
      <c r="AR611" s="11"/>
      <c r="AS611" s="11"/>
      <c r="AT611" s="11"/>
      <c r="AU611" s="11"/>
      <c r="AV611" s="11"/>
      <c r="AW611" s="11"/>
      <c r="AX611" s="11"/>
      <c r="AY611" s="11"/>
      <c r="AZ611" s="11"/>
    </row>
    <row r="612" ht="15.75" customHeight="1">
      <c r="A612" s="12"/>
      <c r="B612" s="13"/>
      <c r="C612" s="14"/>
      <c r="D612" s="15"/>
      <c r="E612" s="15"/>
      <c r="F612" s="15"/>
      <c r="G612" s="15"/>
      <c r="H612" s="15"/>
      <c r="I612" s="15"/>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8"/>
      <c r="AL612" s="9"/>
      <c r="AM612" s="9"/>
      <c r="AN612" s="11"/>
      <c r="AO612" s="11"/>
      <c r="AP612" s="11"/>
      <c r="AQ612" s="11"/>
      <c r="AR612" s="11"/>
      <c r="AS612" s="11"/>
      <c r="AT612" s="11"/>
      <c r="AU612" s="11"/>
      <c r="AV612" s="11"/>
      <c r="AW612" s="11"/>
      <c r="AX612" s="11"/>
      <c r="AY612" s="11"/>
      <c r="AZ612" s="11"/>
    </row>
    <row r="613" ht="15.75" customHeight="1">
      <c r="A613" s="12"/>
      <c r="B613" s="13"/>
      <c r="C613" s="14"/>
      <c r="D613" s="15"/>
      <c r="E613" s="15"/>
      <c r="F613" s="15"/>
      <c r="G613" s="15"/>
      <c r="H613" s="15"/>
      <c r="I613" s="15"/>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8"/>
      <c r="AL613" s="9"/>
      <c r="AM613" s="9"/>
      <c r="AN613" s="11"/>
      <c r="AO613" s="11"/>
      <c r="AP613" s="11"/>
      <c r="AQ613" s="11"/>
      <c r="AR613" s="11"/>
      <c r="AS613" s="11"/>
      <c r="AT613" s="11"/>
      <c r="AU613" s="11"/>
      <c r="AV613" s="11"/>
      <c r="AW613" s="11"/>
      <c r="AX613" s="11"/>
      <c r="AY613" s="11"/>
      <c r="AZ613" s="11"/>
    </row>
    <row r="614" ht="15.75" customHeight="1">
      <c r="A614" s="12"/>
      <c r="B614" s="13"/>
      <c r="C614" s="14"/>
      <c r="D614" s="15"/>
      <c r="E614" s="15"/>
      <c r="F614" s="15"/>
      <c r="G614" s="15"/>
      <c r="H614" s="15"/>
      <c r="I614" s="15"/>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8"/>
      <c r="AL614" s="9"/>
      <c r="AM614" s="9"/>
      <c r="AN614" s="11"/>
      <c r="AO614" s="11"/>
      <c r="AP614" s="11"/>
      <c r="AQ614" s="11"/>
      <c r="AR614" s="11"/>
      <c r="AS614" s="11"/>
      <c r="AT614" s="11"/>
      <c r="AU614" s="11"/>
      <c r="AV614" s="11"/>
      <c r="AW614" s="11"/>
      <c r="AX614" s="11"/>
      <c r="AY614" s="11"/>
      <c r="AZ614" s="11"/>
    </row>
    <row r="615" ht="15.75" customHeight="1">
      <c r="A615" s="12"/>
      <c r="B615" s="13"/>
      <c r="C615" s="14"/>
      <c r="D615" s="15"/>
      <c r="E615" s="15"/>
      <c r="F615" s="15"/>
      <c r="G615" s="15"/>
      <c r="H615" s="15"/>
      <c r="I615" s="15"/>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8"/>
      <c r="AL615" s="9"/>
      <c r="AM615" s="9"/>
      <c r="AN615" s="11"/>
      <c r="AO615" s="11"/>
      <c r="AP615" s="11"/>
      <c r="AQ615" s="11"/>
      <c r="AR615" s="11"/>
      <c r="AS615" s="11"/>
      <c r="AT615" s="11"/>
      <c r="AU615" s="11"/>
      <c r="AV615" s="11"/>
      <c r="AW615" s="11"/>
      <c r="AX615" s="11"/>
      <c r="AY615" s="11"/>
      <c r="AZ615" s="11"/>
    </row>
    <row r="616" ht="15.75" customHeight="1">
      <c r="A616" s="12"/>
      <c r="B616" s="13"/>
      <c r="C616" s="14"/>
      <c r="D616" s="15"/>
      <c r="E616" s="15"/>
      <c r="F616" s="15"/>
      <c r="G616" s="15"/>
      <c r="H616" s="15"/>
      <c r="I616" s="15"/>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8"/>
      <c r="AL616" s="9"/>
      <c r="AM616" s="9"/>
      <c r="AN616" s="11"/>
      <c r="AO616" s="11"/>
      <c r="AP616" s="11"/>
      <c r="AQ616" s="11"/>
      <c r="AR616" s="11"/>
      <c r="AS616" s="11"/>
      <c r="AT616" s="11"/>
      <c r="AU616" s="11"/>
      <c r="AV616" s="11"/>
      <c r="AW616" s="11"/>
      <c r="AX616" s="11"/>
      <c r="AY616" s="11"/>
      <c r="AZ616" s="11"/>
    </row>
    <row r="617" ht="15.75" customHeight="1">
      <c r="A617" s="12"/>
      <c r="B617" s="13"/>
      <c r="C617" s="14"/>
      <c r="D617" s="15"/>
      <c r="E617" s="15"/>
      <c r="F617" s="15"/>
      <c r="G617" s="15"/>
      <c r="H617" s="15"/>
      <c r="I617" s="15"/>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8"/>
      <c r="AL617" s="9"/>
      <c r="AM617" s="9"/>
      <c r="AN617" s="11"/>
      <c r="AO617" s="11"/>
      <c r="AP617" s="11"/>
      <c r="AQ617" s="11"/>
      <c r="AR617" s="11"/>
      <c r="AS617" s="11"/>
      <c r="AT617" s="11"/>
      <c r="AU617" s="11"/>
      <c r="AV617" s="11"/>
      <c r="AW617" s="11"/>
      <c r="AX617" s="11"/>
      <c r="AY617" s="11"/>
      <c r="AZ617" s="11"/>
    </row>
    <row r="618" ht="15.75" customHeight="1">
      <c r="A618" s="12"/>
      <c r="B618" s="13"/>
      <c r="C618" s="14"/>
      <c r="D618" s="15"/>
      <c r="E618" s="15"/>
      <c r="F618" s="15"/>
      <c r="G618" s="15"/>
      <c r="H618" s="15"/>
      <c r="I618" s="15"/>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8"/>
      <c r="AL618" s="9"/>
      <c r="AM618" s="9"/>
      <c r="AN618" s="11"/>
      <c r="AO618" s="11"/>
      <c r="AP618" s="11"/>
      <c r="AQ618" s="11"/>
      <c r="AR618" s="11"/>
      <c r="AS618" s="11"/>
      <c r="AT618" s="11"/>
      <c r="AU618" s="11"/>
      <c r="AV618" s="11"/>
      <c r="AW618" s="11"/>
      <c r="AX618" s="11"/>
      <c r="AY618" s="11"/>
      <c r="AZ618" s="11"/>
    </row>
    <row r="619" ht="15.75" customHeight="1">
      <c r="A619" s="12"/>
      <c r="B619" s="13"/>
      <c r="C619" s="14"/>
      <c r="D619" s="15"/>
      <c r="E619" s="15"/>
      <c r="F619" s="15"/>
      <c r="G619" s="15"/>
      <c r="H619" s="15"/>
      <c r="I619" s="15"/>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8"/>
      <c r="AL619" s="9"/>
      <c r="AM619" s="9"/>
      <c r="AN619" s="11"/>
      <c r="AO619" s="11"/>
      <c r="AP619" s="11"/>
      <c r="AQ619" s="11"/>
      <c r="AR619" s="11"/>
      <c r="AS619" s="11"/>
      <c r="AT619" s="11"/>
      <c r="AU619" s="11"/>
      <c r="AV619" s="11"/>
      <c r="AW619" s="11"/>
      <c r="AX619" s="11"/>
      <c r="AY619" s="11"/>
      <c r="AZ619" s="11"/>
    </row>
    <row r="620" ht="15.75" customHeight="1">
      <c r="A620" s="12"/>
      <c r="B620" s="13"/>
      <c r="C620" s="14"/>
      <c r="D620" s="15"/>
      <c r="E620" s="15"/>
      <c r="F620" s="15"/>
      <c r="G620" s="15"/>
      <c r="H620" s="15"/>
      <c r="I620" s="15"/>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8"/>
      <c r="AL620" s="9"/>
      <c r="AM620" s="9"/>
      <c r="AN620" s="11"/>
      <c r="AO620" s="11"/>
      <c r="AP620" s="11"/>
      <c r="AQ620" s="11"/>
      <c r="AR620" s="11"/>
      <c r="AS620" s="11"/>
      <c r="AT620" s="11"/>
      <c r="AU620" s="11"/>
      <c r="AV620" s="11"/>
      <c r="AW620" s="11"/>
      <c r="AX620" s="11"/>
      <c r="AY620" s="11"/>
      <c r="AZ620" s="11"/>
    </row>
    <row r="621" ht="15.75" customHeight="1">
      <c r="A621" s="12"/>
      <c r="B621" s="13"/>
      <c r="C621" s="14"/>
      <c r="D621" s="15"/>
      <c r="E621" s="15"/>
      <c r="F621" s="15"/>
      <c r="G621" s="15"/>
      <c r="H621" s="15"/>
      <c r="I621" s="15"/>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8"/>
      <c r="AL621" s="9"/>
      <c r="AM621" s="9"/>
      <c r="AN621" s="11"/>
      <c r="AO621" s="11"/>
      <c r="AP621" s="11"/>
      <c r="AQ621" s="11"/>
      <c r="AR621" s="11"/>
      <c r="AS621" s="11"/>
      <c r="AT621" s="11"/>
      <c r="AU621" s="11"/>
      <c r="AV621" s="11"/>
      <c r="AW621" s="11"/>
      <c r="AX621" s="11"/>
      <c r="AY621" s="11"/>
      <c r="AZ621" s="11"/>
    </row>
    <row r="622" ht="15.75" customHeight="1">
      <c r="A622" s="12"/>
      <c r="B622" s="13"/>
      <c r="C622" s="14"/>
      <c r="D622" s="15"/>
      <c r="E622" s="15"/>
      <c r="F622" s="15"/>
      <c r="G622" s="15"/>
      <c r="H622" s="15"/>
      <c r="I622" s="15"/>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8"/>
      <c r="AL622" s="9"/>
      <c r="AM622" s="9"/>
      <c r="AN622" s="11"/>
      <c r="AO622" s="11"/>
      <c r="AP622" s="11"/>
      <c r="AQ622" s="11"/>
      <c r="AR622" s="11"/>
      <c r="AS622" s="11"/>
      <c r="AT622" s="11"/>
      <c r="AU622" s="11"/>
      <c r="AV622" s="11"/>
      <c r="AW622" s="11"/>
      <c r="AX622" s="11"/>
      <c r="AY622" s="11"/>
      <c r="AZ622" s="11"/>
    </row>
    <row r="623" ht="15.75" customHeight="1">
      <c r="A623" s="12"/>
      <c r="B623" s="13"/>
      <c r="C623" s="14"/>
      <c r="D623" s="15"/>
      <c r="E623" s="15"/>
      <c r="F623" s="15"/>
      <c r="G623" s="15"/>
      <c r="H623" s="15"/>
      <c r="I623" s="15"/>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8"/>
      <c r="AL623" s="9"/>
      <c r="AM623" s="9"/>
      <c r="AN623" s="11"/>
      <c r="AO623" s="11"/>
      <c r="AP623" s="11"/>
      <c r="AQ623" s="11"/>
      <c r="AR623" s="11"/>
      <c r="AS623" s="11"/>
      <c r="AT623" s="11"/>
      <c r="AU623" s="11"/>
      <c r="AV623" s="11"/>
      <c r="AW623" s="11"/>
      <c r="AX623" s="11"/>
      <c r="AY623" s="11"/>
      <c r="AZ623" s="11"/>
    </row>
    <row r="624" ht="15.75" customHeight="1">
      <c r="A624" s="12"/>
      <c r="B624" s="13"/>
      <c r="C624" s="14"/>
      <c r="D624" s="15"/>
      <c r="E624" s="15"/>
      <c r="F624" s="15"/>
      <c r="G624" s="15"/>
      <c r="H624" s="15"/>
      <c r="I624" s="15"/>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8"/>
      <c r="AL624" s="9"/>
      <c r="AM624" s="9"/>
      <c r="AN624" s="11"/>
      <c r="AO624" s="11"/>
      <c r="AP624" s="11"/>
      <c r="AQ624" s="11"/>
      <c r="AR624" s="11"/>
      <c r="AS624" s="11"/>
      <c r="AT624" s="11"/>
      <c r="AU624" s="11"/>
      <c r="AV624" s="11"/>
      <c r="AW624" s="11"/>
      <c r="AX624" s="11"/>
      <c r="AY624" s="11"/>
      <c r="AZ624" s="11"/>
    </row>
    <row r="625" ht="15.75" customHeight="1">
      <c r="A625" s="12"/>
      <c r="B625" s="13"/>
      <c r="C625" s="14"/>
      <c r="D625" s="15"/>
      <c r="E625" s="15"/>
      <c r="F625" s="15"/>
      <c r="G625" s="15"/>
      <c r="H625" s="15"/>
      <c r="I625" s="15"/>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8"/>
      <c r="AL625" s="9"/>
      <c r="AM625" s="9"/>
      <c r="AN625" s="11"/>
      <c r="AO625" s="11"/>
      <c r="AP625" s="11"/>
      <c r="AQ625" s="11"/>
      <c r="AR625" s="11"/>
      <c r="AS625" s="11"/>
      <c r="AT625" s="11"/>
      <c r="AU625" s="11"/>
      <c r="AV625" s="11"/>
      <c r="AW625" s="11"/>
      <c r="AX625" s="11"/>
      <c r="AY625" s="11"/>
      <c r="AZ625" s="11"/>
    </row>
    <row r="626" ht="15.75" customHeight="1">
      <c r="A626" s="12"/>
      <c r="B626" s="13"/>
      <c r="C626" s="14"/>
      <c r="D626" s="15"/>
      <c r="E626" s="15"/>
      <c r="F626" s="15"/>
      <c r="G626" s="15"/>
      <c r="H626" s="15"/>
      <c r="I626" s="15"/>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8"/>
      <c r="AL626" s="9"/>
      <c r="AM626" s="9"/>
      <c r="AN626" s="11"/>
      <c r="AO626" s="11"/>
      <c r="AP626" s="11"/>
      <c r="AQ626" s="11"/>
      <c r="AR626" s="11"/>
      <c r="AS626" s="11"/>
      <c r="AT626" s="11"/>
      <c r="AU626" s="11"/>
      <c r="AV626" s="11"/>
      <c r="AW626" s="11"/>
      <c r="AX626" s="11"/>
      <c r="AY626" s="11"/>
      <c r="AZ626" s="11"/>
    </row>
    <row r="627" ht="15.75" customHeight="1">
      <c r="A627" s="12"/>
      <c r="B627" s="13"/>
      <c r="C627" s="14"/>
      <c r="D627" s="15"/>
      <c r="E627" s="15"/>
      <c r="F627" s="15"/>
      <c r="G627" s="15"/>
      <c r="H627" s="15"/>
      <c r="I627" s="15"/>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8"/>
      <c r="AL627" s="9"/>
      <c r="AM627" s="9"/>
      <c r="AN627" s="11"/>
      <c r="AO627" s="11"/>
      <c r="AP627" s="11"/>
      <c r="AQ627" s="11"/>
      <c r="AR627" s="11"/>
      <c r="AS627" s="11"/>
      <c r="AT627" s="11"/>
      <c r="AU627" s="11"/>
      <c r="AV627" s="11"/>
      <c r="AW627" s="11"/>
      <c r="AX627" s="11"/>
      <c r="AY627" s="11"/>
      <c r="AZ627" s="11"/>
    </row>
    <row r="628" ht="15.75" customHeight="1">
      <c r="A628" s="12"/>
      <c r="B628" s="13"/>
      <c r="C628" s="14"/>
      <c r="D628" s="15"/>
      <c r="E628" s="15"/>
      <c r="F628" s="15"/>
      <c r="G628" s="15"/>
      <c r="H628" s="15"/>
      <c r="I628" s="15"/>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8"/>
      <c r="AL628" s="9"/>
      <c r="AM628" s="9"/>
      <c r="AN628" s="11"/>
      <c r="AO628" s="11"/>
      <c r="AP628" s="11"/>
      <c r="AQ628" s="11"/>
      <c r="AR628" s="11"/>
      <c r="AS628" s="11"/>
      <c r="AT628" s="11"/>
      <c r="AU628" s="11"/>
      <c r="AV628" s="11"/>
      <c r="AW628" s="11"/>
      <c r="AX628" s="11"/>
      <c r="AY628" s="11"/>
      <c r="AZ628" s="11"/>
    </row>
    <row r="629" ht="15.75" customHeight="1">
      <c r="A629" s="12"/>
      <c r="B629" s="13"/>
      <c r="C629" s="14"/>
      <c r="D629" s="15"/>
      <c r="E629" s="15"/>
      <c r="F629" s="15"/>
      <c r="G629" s="15"/>
      <c r="H629" s="15"/>
      <c r="I629" s="15"/>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8"/>
      <c r="AL629" s="9"/>
      <c r="AM629" s="9"/>
      <c r="AN629" s="11"/>
      <c r="AO629" s="11"/>
      <c r="AP629" s="11"/>
      <c r="AQ629" s="11"/>
      <c r="AR629" s="11"/>
      <c r="AS629" s="11"/>
      <c r="AT629" s="11"/>
      <c r="AU629" s="11"/>
      <c r="AV629" s="11"/>
      <c r="AW629" s="11"/>
      <c r="AX629" s="11"/>
      <c r="AY629" s="11"/>
      <c r="AZ629" s="11"/>
    </row>
    <row r="630" ht="15.75" customHeight="1">
      <c r="A630" s="12"/>
      <c r="B630" s="13"/>
      <c r="C630" s="14"/>
      <c r="D630" s="15"/>
      <c r="E630" s="15"/>
      <c r="F630" s="15"/>
      <c r="G630" s="15"/>
      <c r="H630" s="15"/>
      <c r="I630" s="15"/>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8"/>
      <c r="AL630" s="9"/>
      <c r="AM630" s="9"/>
      <c r="AN630" s="11"/>
      <c r="AO630" s="11"/>
      <c r="AP630" s="11"/>
      <c r="AQ630" s="11"/>
      <c r="AR630" s="11"/>
      <c r="AS630" s="11"/>
      <c r="AT630" s="11"/>
      <c r="AU630" s="11"/>
      <c r="AV630" s="11"/>
      <c r="AW630" s="11"/>
      <c r="AX630" s="11"/>
      <c r="AY630" s="11"/>
      <c r="AZ630" s="11"/>
    </row>
    <row r="631" ht="15.75" customHeight="1">
      <c r="A631" s="12"/>
      <c r="B631" s="13"/>
      <c r="C631" s="14"/>
      <c r="D631" s="15"/>
      <c r="E631" s="15"/>
      <c r="F631" s="15"/>
      <c r="G631" s="15"/>
      <c r="H631" s="15"/>
      <c r="I631" s="15"/>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8"/>
      <c r="AL631" s="9"/>
      <c r="AM631" s="9"/>
      <c r="AN631" s="11"/>
      <c r="AO631" s="11"/>
      <c r="AP631" s="11"/>
      <c r="AQ631" s="11"/>
      <c r="AR631" s="11"/>
      <c r="AS631" s="11"/>
      <c r="AT631" s="11"/>
      <c r="AU631" s="11"/>
      <c r="AV631" s="11"/>
      <c r="AW631" s="11"/>
      <c r="AX631" s="11"/>
      <c r="AY631" s="11"/>
      <c r="AZ631" s="11"/>
    </row>
    <row r="632" ht="15.75" customHeight="1">
      <c r="A632" s="12"/>
      <c r="B632" s="13"/>
      <c r="C632" s="14"/>
      <c r="D632" s="15"/>
      <c r="E632" s="15"/>
      <c r="F632" s="15"/>
      <c r="G632" s="15"/>
      <c r="H632" s="15"/>
      <c r="I632" s="15"/>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8"/>
      <c r="AL632" s="9"/>
      <c r="AM632" s="9"/>
      <c r="AN632" s="11"/>
      <c r="AO632" s="11"/>
      <c r="AP632" s="11"/>
      <c r="AQ632" s="11"/>
      <c r="AR632" s="11"/>
      <c r="AS632" s="11"/>
      <c r="AT632" s="11"/>
      <c r="AU632" s="11"/>
      <c r="AV632" s="11"/>
      <c r="AW632" s="11"/>
      <c r="AX632" s="11"/>
      <c r="AY632" s="11"/>
      <c r="AZ632" s="11"/>
    </row>
    <row r="633" ht="15.75" customHeight="1">
      <c r="A633" s="12"/>
      <c r="B633" s="13"/>
      <c r="C633" s="14"/>
      <c r="D633" s="15"/>
      <c r="E633" s="15"/>
      <c r="F633" s="15"/>
      <c r="G633" s="15"/>
      <c r="H633" s="15"/>
      <c r="I633" s="15"/>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8"/>
      <c r="AL633" s="9"/>
      <c r="AM633" s="9"/>
      <c r="AN633" s="11"/>
      <c r="AO633" s="11"/>
      <c r="AP633" s="11"/>
      <c r="AQ633" s="11"/>
      <c r="AR633" s="11"/>
      <c r="AS633" s="11"/>
      <c r="AT633" s="11"/>
      <c r="AU633" s="11"/>
      <c r="AV633" s="11"/>
      <c r="AW633" s="11"/>
      <c r="AX633" s="11"/>
      <c r="AY633" s="11"/>
      <c r="AZ633" s="11"/>
    </row>
    <row r="634" ht="15.75" customHeight="1">
      <c r="A634" s="12"/>
      <c r="B634" s="13"/>
      <c r="C634" s="14"/>
      <c r="D634" s="15"/>
      <c r="E634" s="15"/>
      <c r="F634" s="15"/>
      <c r="G634" s="15"/>
      <c r="H634" s="15"/>
      <c r="I634" s="15"/>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8"/>
      <c r="AL634" s="9"/>
      <c r="AM634" s="9"/>
      <c r="AN634" s="11"/>
      <c r="AO634" s="11"/>
      <c r="AP634" s="11"/>
      <c r="AQ634" s="11"/>
      <c r="AR634" s="11"/>
      <c r="AS634" s="11"/>
      <c r="AT634" s="11"/>
      <c r="AU634" s="11"/>
      <c r="AV634" s="11"/>
      <c r="AW634" s="11"/>
      <c r="AX634" s="11"/>
      <c r="AY634" s="11"/>
      <c r="AZ634" s="11"/>
    </row>
    <row r="635" ht="15.75" customHeight="1">
      <c r="A635" s="12"/>
      <c r="B635" s="13"/>
      <c r="C635" s="14"/>
      <c r="D635" s="15"/>
      <c r="E635" s="15"/>
      <c r="F635" s="15"/>
      <c r="G635" s="15"/>
      <c r="H635" s="15"/>
      <c r="I635" s="15"/>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8"/>
      <c r="AL635" s="9"/>
      <c r="AM635" s="9"/>
      <c r="AN635" s="11"/>
      <c r="AO635" s="11"/>
      <c r="AP635" s="11"/>
      <c r="AQ635" s="11"/>
      <c r="AR635" s="11"/>
      <c r="AS635" s="11"/>
      <c r="AT635" s="11"/>
      <c r="AU635" s="11"/>
      <c r="AV635" s="11"/>
      <c r="AW635" s="11"/>
      <c r="AX635" s="11"/>
      <c r="AY635" s="11"/>
      <c r="AZ635" s="11"/>
    </row>
    <row r="636" ht="15.75" customHeight="1">
      <c r="A636" s="12"/>
      <c r="B636" s="13"/>
      <c r="C636" s="14"/>
      <c r="D636" s="15"/>
      <c r="E636" s="15"/>
      <c r="F636" s="15"/>
      <c r="G636" s="15"/>
      <c r="H636" s="15"/>
      <c r="I636" s="15"/>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8"/>
      <c r="AL636" s="9"/>
      <c r="AM636" s="9"/>
      <c r="AN636" s="11"/>
      <c r="AO636" s="11"/>
      <c r="AP636" s="11"/>
      <c r="AQ636" s="11"/>
      <c r="AR636" s="11"/>
      <c r="AS636" s="11"/>
      <c r="AT636" s="11"/>
      <c r="AU636" s="11"/>
      <c r="AV636" s="11"/>
      <c r="AW636" s="11"/>
      <c r="AX636" s="11"/>
      <c r="AY636" s="11"/>
      <c r="AZ636" s="11"/>
    </row>
    <row r="637" ht="15.75" customHeight="1">
      <c r="A637" s="12"/>
      <c r="B637" s="13"/>
      <c r="C637" s="14"/>
      <c r="D637" s="15"/>
      <c r="E637" s="15"/>
      <c r="F637" s="15"/>
      <c r="G637" s="15"/>
      <c r="H637" s="15"/>
      <c r="I637" s="15"/>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8"/>
      <c r="AL637" s="9"/>
      <c r="AM637" s="9"/>
      <c r="AN637" s="11"/>
      <c r="AO637" s="11"/>
      <c r="AP637" s="11"/>
      <c r="AQ637" s="11"/>
      <c r="AR637" s="11"/>
      <c r="AS637" s="11"/>
      <c r="AT637" s="11"/>
      <c r="AU637" s="11"/>
      <c r="AV637" s="11"/>
      <c r="AW637" s="11"/>
      <c r="AX637" s="11"/>
      <c r="AY637" s="11"/>
      <c r="AZ637" s="11"/>
    </row>
    <row r="638" ht="15.75" customHeight="1">
      <c r="A638" s="12"/>
      <c r="B638" s="13"/>
      <c r="C638" s="14"/>
      <c r="D638" s="15"/>
      <c r="E638" s="15"/>
      <c r="F638" s="15"/>
      <c r="G638" s="15"/>
      <c r="H638" s="15"/>
      <c r="I638" s="15"/>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8"/>
      <c r="AL638" s="9"/>
      <c r="AM638" s="9"/>
      <c r="AN638" s="11"/>
      <c r="AO638" s="11"/>
      <c r="AP638" s="11"/>
      <c r="AQ638" s="11"/>
      <c r="AR638" s="11"/>
      <c r="AS638" s="11"/>
      <c r="AT638" s="11"/>
      <c r="AU638" s="11"/>
      <c r="AV638" s="11"/>
      <c r="AW638" s="11"/>
      <c r="AX638" s="11"/>
      <c r="AY638" s="11"/>
      <c r="AZ638" s="11"/>
    </row>
    <row r="639" ht="15.75" customHeight="1">
      <c r="A639" s="12"/>
      <c r="B639" s="13"/>
      <c r="C639" s="14"/>
      <c r="D639" s="15"/>
      <c r="E639" s="15"/>
      <c r="F639" s="15"/>
      <c r="G639" s="15"/>
      <c r="H639" s="15"/>
      <c r="I639" s="15"/>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8"/>
      <c r="AL639" s="9"/>
      <c r="AM639" s="9"/>
      <c r="AN639" s="11"/>
      <c r="AO639" s="11"/>
      <c r="AP639" s="11"/>
      <c r="AQ639" s="11"/>
      <c r="AR639" s="11"/>
      <c r="AS639" s="11"/>
      <c r="AT639" s="11"/>
      <c r="AU639" s="11"/>
      <c r="AV639" s="11"/>
      <c r="AW639" s="11"/>
      <c r="AX639" s="11"/>
      <c r="AY639" s="11"/>
      <c r="AZ639" s="11"/>
    </row>
    <row r="640" ht="15.75" customHeight="1">
      <c r="A640" s="12"/>
      <c r="B640" s="13"/>
      <c r="C640" s="14"/>
      <c r="D640" s="15"/>
      <c r="E640" s="15"/>
      <c r="F640" s="15"/>
      <c r="G640" s="15"/>
      <c r="H640" s="15"/>
      <c r="I640" s="15"/>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8"/>
      <c r="AL640" s="9"/>
      <c r="AM640" s="9"/>
      <c r="AN640" s="11"/>
      <c r="AO640" s="11"/>
      <c r="AP640" s="11"/>
      <c r="AQ640" s="11"/>
      <c r="AR640" s="11"/>
      <c r="AS640" s="11"/>
      <c r="AT640" s="11"/>
      <c r="AU640" s="11"/>
      <c r="AV640" s="11"/>
      <c r="AW640" s="11"/>
      <c r="AX640" s="11"/>
      <c r="AY640" s="11"/>
      <c r="AZ640" s="11"/>
    </row>
    <row r="641" ht="15.75" customHeight="1">
      <c r="A641" s="12"/>
      <c r="B641" s="13"/>
      <c r="C641" s="14"/>
      <c r="D641" s="15"/>
      <c r="E641" s="15"/>
      <c r="F641" s="15"/>
      <c r="G641" s="15"/>
      <c r="H641" s="15"/>
      <c r="I641" s="15"/>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8"/>
      <c r="AL641" s="9"/>
      <c r="AM641" s="9"/>
      <c r="AN641" s="11"/>
      <c r="AO641" s="11"/>
      <c r="AP641" s="11"/>
      <c r="AQ641" s="11"/>
      <c r="AR641" s="11"/>
      <c r="AS641" s="11"/>
      <c r="AT641" s="11"/>
      <c r="AU641" s="11"/>
      <c r="AV641" s="11"/>
      <c r="AW641" s="11"/>
      <c r="AX641" s="11"/>
      <c r="AY641" s="11"/>
      <c r="AZ641" s="11"/>
    </row>
    <row r="642" ht="15.75" customHeight="1">
      <c r="A642" s="12"/>
      <c r="B642" s="13"/>
      <c r="C642" s="14"/>
      <c r="D642" s="15"/>
      <c r="E642" s="15"/>
      <c r="F642" s="15"/>
      <c r="G642" s="15"/>
      <c r="H642" s="15"/>
      <c r="I642" s="15"/>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8"/>
      <c r="AL642" s="9"/>
      <c r="AM642" s="9"/>
      <c r="AN642" s="11"/>
      <c r="AO642" s="11"/>
      <c r="AP642" s="11"/>
      <c r="AQ642" s="11"/>
      <c r="AR642" s="11"/>
      <c r="AS642" s="11"/>
      <c r="AT642" s="11"/>
      <c r="AU642" s="11"/>
      <c r="AV642" s="11"/>
      <c r="AW642" s="11"/>
      <c r="AX642" s="11"/>
      <c r="AY642" s="11"/>
      <c r="AZ642" s="11"/>
    </row>
    <row r="643" ht="15.75" customHeight="1">
      <c r="A643" s="12"/>
      <c r="B643" s="13"/>
      <c r="C643" s="14"/>
      <c r="D643" s="15"/>
      <c r="E643" s="15"/>
      <c r="F643" s="15"/>
      <c r="G643" s="15"/>
      <c r="H643" s="15"/>
      <c r="I643" s="15"/>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8"/>
      <c r="AL643" s="9"/>
      <c r="AM643" s="9"/>
      <c r="AN643" s="11"/>
      <c r="AO643" s="11"/>
      <c r="AP643" s="11"/>
      <c r="AQ643" s="11"/>
      <c r="AR643" s="11"/>
      <c r="AS643" s="11"/>
      <c r="AT643" s="11"/>
      <c r="AU643" s="11"/>
      <c r="AV643" s="11"/>
      <c r="AW643" s="11"/>
      <c r="AX643" s="11"/>
      <c r="AY643" s="11"/>
      <c r="AZ643" s="11"/>
    </row>
    <row r="644" ht="15.75" customHeight="1">
      <c r="A644" s="12"/>
      <c r="B644" s="13"/>
      <c r="C644" s="14"/>
      <c r="D644" s="15"/>
      <c r="E644" s="15"/>
      <c r="F644" s="15"/>
      <c r="G644" s="15"/>
      <c r="H644" s="15"/>
      <c r="I644" s="15"/>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8"/>
      <c r="AL644" s="9"/>
      <c r="AM644" s="9"/>
      <c r="AN644" s="11"/>
      <c r="AO644" s="11"/>
      <c r="AP644" s="11"/>
      <c r="AQ644" s="11"/>
      <c r="AR644" s="11"/>
      <c r="AS644" s="11"/>
      <c r="AT644" s="11"/>
      <c r="AU644" s="11"/>
      <c r="AV644" s="11"/>
      <c r="AW644" s="11"/>
      <c r="AX644" s="11"/>
      <c r="AY644" s="11"/>
      <c r="AZ644" s="11"/>
    </row>
    <row r="645" ht="15.75" customHeight="1">
      <c r="A645" s="12"/>
      <c r="B645" s="13"/>
      <c r="C645" s="14"/>
      <c r="D645" s="15"/>
      <c r="E645" s="15"/>
      <c r="F645" s="15"/>
      <c r="G645" s="15"/>
      <c r="H645" s="15"/>
      <c r="I645" s="15"/>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8"/>
      <c r="AL645" s="9"/>
      <c r="AM645" s="9"/>
      <c r="AN645" s="11"/>
      <c r="AO645" s="11"/>
      <c r="AP645" s="11"/>
      <c r="AQ645" s="11"/>
      <c r="AR645" s="11"/>
      <c r="AS645" s="11"/>
      <c r="AT645" s="11"/>
      <c r="AU645" s="11"/>
      <c r="AV645" s="11"/>
      <c r="AW645" s="11"/>
      <c r="AX645" s="11"/>
      <c r="AY645" s="11"/>
      <c r="AZ645" s="11"/>
    </row>
    <row r="646" ht="15.75" customHeight="1">
      <c r="A646" s="12"/>
      <c r="B646" s="13"/>
      <c r="C646" s="14"/>
      <c r="D646" s="15"/>
      <c r="E646" s="15"/>
      <c r="F646" s="15"/>
      <c r="G646" s="15"/>
      <c r="H646" s="15"/>
      <c r="I646" s="15"/>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8"/>
      <c r="AL646" s="9"/>
      <c r="AM646" s="9"/>
      <c r="AN646" s="11"/>
      <c r="AO646" s="11"/>
      <c r="AP646" s="11"/>
      <c r="AQ646" s="11"/>
      <c r="AR646" s="11"/>
      <c r="AS646" s="11"/>
      <c r="AT646" s="11"/>
      <c r="AU646" s="11"/>
      <c r="AV646" s="11"/>
      <c r="AW646" s="11"/>
      <c r="AX646" s="11"/>
      <c r="AY646" s="11"/>
      <c r="AZ646" s="11"/>
    </row>
    <row r="647" ht="15.75" customHeight="1">
      <c r="A647" s="12"/>
      <c r="B647" s="13"/>
      <c r="C647" s="14"/>
      <c r="D647" s="15"/>
      <c r="E647" s="15"/>
      <c r="F647" s="15"/>
      <c r="G647" s="15"/>
      <c r="H647" s="15"/>
      <c r="I647" s="15"/>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8"/>
      <c r="AL647" s="9"/>
      <c r="AM647" s="9"/>
      <c r="AN647" s="11"/>
      <c r="AO647" s="11"/>
      <c r="AP647" s="11"/>
      <c r="AQ647" s="11"/>
      <c r="AR647" s="11"/>
      <c r="AS647" s="11"/>
      <c r="AT647" s="11"/>
      <c r="AU647" s="11"/>
      <c r="AV647" s="11"/>
      <c r="AW647" s="11"/>
      <c r="AX647" s="11"/>
      <c r="AY647" s="11"/>
      <c r="AZ647" s="11"/>
    </row>
    <row r="648" ht="15.75" customHeight="1">
      <c r="A648" s="12"/>
      <c r="B648" s="13"/>
      <c r="C648" s="14"/>
      <c r="D648" s="15"/>
      <c r="E648" s="15"/>
      <c r="F648" s="15"/>
      <c r="G648" s="15"/>
      <c r="H648" s="15"/>
      <c r="I648" s="15"/>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8"/>
      <c r="AL648" s="9"/>
      <c r="AM648" s="9"/>
      <c r="AN648" s="11"/>
      <c r="AO648" s="11"/>
      <c r="AP648" s="11"/>
      <c r="AQ648" s="11"/>
      <c r="AR648" s="11"/>
      <c r="AS648" s="11"/>
      <c r="AT648" s="11"/>
      <c r="AU648" s="11"/>
      <c r="AV648" s="11"/>
      <c r="AW648" s="11"/>
      <c r="AX648" s="11"/>
      <c r="AY648" s="11"/>
      <c r="AZ648" s="11"/>
    </row>
    <row r="649" ht="15.75" customHeight="1">
      <c r="A649" s="12"/>
      <c r="B649" s="13"/>
      <c r="C649" s="14"/>
      <c r="D649" s="15"/>
      <c r="E649" s="15"/>
      <c r="F649" s="15"/>
      <c r="G649" s="15"/>
      <c r="H649" s="15"/>
      <c r="I649" s="15"/>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8"/>
      <c r="AL649" s="9"/>
      <c r="AM649" s="9"/>
      <c r="AN649" s="11"/>
      <c r="AO649" s="11"/>
      <c r="AP649" s="11"/>
      <c r="AQ649" s="11"/>
      <c r="AR649" s="11"/>
      <c r="AS649" s="11"/>
      <c r="AT649" s="11"/>
      <c r="AU649" s="11"/>
      <c r="AV649" s="11"/>
      <c r="AW649" s="11"/>
      <c r="AX649" s="11"/>
      <c r="AY649" s="11"/>
      <c r="AZ649" s="11"/>
    </row>
    <row r="650" ht="15.75" customHeight="1">
      <c r="A650" s="12"/>
      <c r="B650" s="13"/>
      <c r="C650" s="14"/>
      <c r="D650" s="15"/>
      <c r="E650" s="15"/>
      <c r="F650" s="15"/>
      <c r="G650" s="15"/>
      <c r="H650" s="15"/>
      <c r="I650" s="15"/>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8"/>
      <c r="AL650" s="9"/>
      <c r="AM650" s="9"/>
      <c r="AN650" s="11"/>
      <c r="AO650" s="11"/>
      <c r="AP650" s="11"/>
      <c r="AQ650" s="11"/>
      <c r="AR650" s="11"/>
      <c r="AS650" s="11"/>
      <c r="AT650" s="11"/>
      <c r="AU650" s="11"/>
      <c r="AV650" s="11"/>
      <c r="AW650" s="11"/>
      <c r="AX650" s="11"/>
      <c r="AY650" s="11"/>
      <c r="AZ650" s="11"/>
    </row>
    <row r="651" ht="15.75" customHeight="1">
      <c r="A651" s="12"/>
      <c r="B651" s="13"/>
      <c r="C651" s="14"/>
      <c r="D651" s="15"/>
      <c r="E651" s="15"/>
      <c r="F651" s="15"/>
      <c r="G651" s="15"/>
      <c r="H651" s="15"/>
      <c r="I651" s="15"/>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8"/>
      <c r="AL651" s="9"/>
      <c r="AM651" s="9"/>
      <c r="AN651" s="11"/>
      <c r="AO651" s="11"/>
      <c r="AP651" s="11"/>
      <c r="AQ651" s="11"/>
      <c r="AR651" s="11"/>
      <c r="AS651" s="11"/>
      <c r="AT651" s="11"/>
      <c r="AU651" s="11"/>
      <c r="AV651" s="11"/>
      <c r="AW651" s="11"/>
      <c r="AX651" s="11"/>
      <c r="AY651" s="11"/>
      <c r="AZ651" s="11"/>
    </row>
    <row r="652" ht="15.75" customHeight="1">
      <c r="A652" s="12"/>
      <c r="B652" s="13"/>
      <c r="C652" s="14"/>
      <c r="D652" s="15"/>
      <c r="E652" s="15"/>
      <c r="F652" s="15"/>
      <c r="G652" s="15"/>
      <c r="H652" s="15"/>
      <c r="I652" s="15"/>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8"/>
      <c r="AL652" s="9"/>
      <c r="AM652" s="9"/>
      <c r="AN652" s="11"/>
      <c r="AO652" s="11"/>
      <c r="AP652" s="11"/>
      <c r="AQ652" s="11"/>
      <c r="AR652" s="11"/>
      <c r="AS652" s="11"/>
      <c r="AT652" s="11"/>
      <c r="AU652" s="11"/>
      <c r="AV652" s="11"/>
      <c r="AW652" s="11"/>
      <c r="AX652" s="11"/>
      <c r="AY652" s="11"/>
      <c r="AZ652" s="11"/>
    </row>
    <row r="653" ht="15.75" customHeight="1">
      <c r="A653" s="12"/>
      <c r="B653" s="13"/>
      <c r="C653" s="14"/>
      <c r="D653" s="15"/>
      <c r="E653" s="15"/>
      <c r="F653" s="15"/>
      <c r="G653" s="15"/>
      <c r="H653" s="15"/>
      <c r="I653" s="15"/>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8"/>
      <c r="AL653" s="9"/>
      <c r="AM653" s="9"/>
      <c r="AN653" s="11"/>
      <c r="AO653" s="11"/>
      <c r="AP653" s="11"/>
      <c r="AQ653" s="11"/>
      <c r="AR653" s="11"/>
      <c r="AS653" s="11"/>
      <c r="AT653" s="11"/>
      <c r="AU653" s="11"/>
      <c r="AV653" s="11"/>
      <c r="AW653" s="11"/>
      <c r="AX653" s="11"/>
      <c r="AY653" s="11"/>
      <c r="AZ653" s="11"/>
    </row>
    <row r="654" ht="15.75" customHeight="1">
      <c r="A654" s="12"/>
      <c r="B654" s="13"/>
      <c r="C654" s="14"/>
      <c r="D654" s="15"/>
      <c r="E654" s="15"/>
      <c r="F654" s="15"/>
      <c r="G654" s="15"/>
      <c r="H654" s="15"/>
      <c r="I654" s="15"/>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8"/>
      <c r="AL654" s="9"/>
      <c r="AM654" s="9"/>
      <c r="AN654" s="11"/>
      <c r="AO654" s="11"/>
      <c r="AP654" s="11"/>
      <c r="AQ654" s="11"/>
      <c r="AR654" s="11"/>
      <c r="AS654" s="11"/>
      <c r="AT654" s="11"/>
      <c r="AU654" s="11"/>
      <c r="AV654" s="11"/>
      <c r="AW654" s="11"/>
      <c r="AX654" s="11"/>
      <c r="AY654" s="11"/>
      <c r="AZ654" s="11"/>
    </row>
    <row r="655" ht="15.75" customHeight="1">
      <c r="A655" s="12"/>
      <c r="B655" s="13"/>
      <c r="C655" s="14"/>
      <c r="D655" s="15"/>
      <c r="E655" s="15"/>
      <c r="F655" s="15"/>
      <c r="G655" s="15"/>
      <c r="H655" s="15"/>
      <c r="I655" s="15"/>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8"/>
      <c r="AL655" s="9"/>
      <c r="AM655" s="9"/>
      <c r="AN655" s="11"/>
      <c r="AO655" s="11"/>
      <c r="AP655" s="11"/>
      <c r="AQ655" s="11"/>
      <c r="AR655" s="11"/>
      <c r="AS655" s="11"/>
      <c r="AT655" s="11"/>
      <c r="AU655" s="11"/>
      <c r="AV655" s="11"/>
      <c r="AW655" s="11"/>
      <c r="AX655" s="11"/>
      <c r="AY655" s="11"/>
      <c r="AZ655" s="11"/>
    </row>
    <row r="656" ht="15.75" customHeight="1">
      <c r="A656" s="12"/>
      <c r="B656" s="13"/>
      <c r="C656" s="14"/>
      <c r="D656" s="15"/>
      <c r="E656" s="15"/>
      <c r="F656" s="15"/>
      <c r="G656" s="15"/>
      <c r="H656" s="15"/>
      <c r="I656" s="15"/>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8"/>
      <c r="AL656" s="9"/>
      <c r="AM656" s="9"/>
      <c r="AN656" s="11"/>
      <c r="AO656" s="11"/>
      <c r="AP656" s="11"/>
      <c r="AQ656" s="11"/>
      <c r="AR656" s="11"/>
      <c r="AS656" s="11"/>
      <c r="AT656" s="11"/>
      <c r="AU656" s="11"/>
      <c r="AV656" s="11"/>
      <c r="AW656" s="11"/>
      <c r="AX656" s="11"/>
      <c r="AY656" s="11"/>
      <c r="AZ656" s="11"/>
    </row>
    <row r="657" ht="15.75" customHeight="1">
      <c r="A657" s="12"/>
      <c r="B657" s="13"/>
      <c r="C657" s="14"/>
      <c r="D657" s="15"/>
      <c r="E657" s="15"/>
      <c r="F657" s="15"/>
      <c r="G657" s="15"/>
      <c r="H657" s="15"/>
      <c r="I657" s="15"/>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8"/>
      <c r="AL657" s="9"/>
      <c r="AM657" s="9"/>
      <c r="AN657" s="11"/>
      <c r="AO657" s="11"/>
      <c r="AP657" s="11"/>
      <c r="AQ657" s="11"/>
      <c r="AR657" s="11"/>
      <c r="AS657" s="11"/>
      <c r="AT657" s="11"/>
      <c r="AU657" s="11"/>
      <c r="AV657" s="11"/>
      <c r="AW657" s="11"/>
      <c r="AX657" s="11"/>
      <c r="AY657" s="11"/>
      <c r="AZ657" s="11"/>
    </row>
    <row r="658" ht="15.75" customHeight="1">
      <c r="A658" s="12"/>
      <c r="B658" s="13"/>
      <c r="C658" s="14"/>
      <c r="D658" s="15"/>
      <c r="E658" s="15"/>
      <c r="F658" s="15"/>
      <c r="G658" s="15"/>
      <c r="H658" s="15"/>
      <c r="I658" s="15"/>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8"/>
      <c r="AL658" s="9"/>
      <c r="AM658" s="9"/>
      <c r="AN658" s="11"/>
      <c r="AO658" s="11"/>
      <c r="AP658" s="11"/>
      <c r="AQ658" s="11"/>
      <c r="AR658" s="11"/>
      <c r="AS658" s="11"/>
      <c r="AT658" s="11"/>
      <c r="AU658" s="11"/>
      <c r="AV658" s="11"/>
      <c r="AW658" s="11"/>
      <c r="AX658" s="11"/>
      <c r="AY658" s="11"/>
      <c r="AZ658" s="11"/>
    </row>
    <row r="659" ht="15.75" customHeight="1">
      <c r="A659" s="12"/>
      <c r="B659" s="13"/>
      <c r="C659" s="14"/>
      <c r="D659" s="15"/>
      <c r="E659" s="15"/>
      <c r="F659" s="15"/>
      <c r="G659" s="15"/>
      <c r="H659" s="15"/>
      <c r="I659" s="15"/>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8"/>
      <c r="AL659" s="9"/>
      <c r="AM659" s="9"/>
      <c r="AN659" s="11"/>
      <c r="AO659" s="11"/>
      <c r="AP659" s="11"/>
      <c r="AQ659" s="11"/>
      <c r="AR659" s="11"/>
      <c r="AS659" s="11"/>
      <c r="AT659" s="11"/>
      <c r="AU659" s="11"/>
      <c r="AV659" s="11"/>
      <c r="AW659" s="11"/>
      <c r="AX659" s="11"/>
      <c r="AY659" s="11"/>
      <c r="AZ659" s="11"/>
    </row>
    <row r="660" ht="15.75" customHeight="1">
      <c r="A660" s="12"/>
      <c r="B660" s="13"/>
      <c r="C660" s="14"/>
      <c r="D660" s="15"/>
      <c r="E660" s="15"/>
      <c r="F660" s="15"/>
      <c r="G660" s="15"/>
      <c r="H660" s="15"/>
      <c r="I660" s="15"/>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8"/>
      <c r="AL660" s="9"/>
      <c r="AM660" s="9"/>
      <c r="AN660" s="11"/>
      <c r="AO660" s="11"/>
      <c r="AP660" s="11"/>
      <c r="AQ660" s="11"/>
      <c r="AR660" s="11"/>
      <c r="AS660" s="11"/>
      <c r="AT660" s="11"/>
      <c r="AU660" s="11"/>
      <c r="AV660" s="11"/>
      <c r="AW660" s="11"/>
      <c r="AX660" s="11"/>
      <c r="AY660" s="11"/>
      <c r="AZ660" s="11"/>
    </row>
    <row r="661" ht="15.75" customHeight="1">
      <c r="A661" s="12"/>
      <c r="B661" s="13"/>
      <c r="C661" s="14"/>
      <c r="D661" s="15"/>
      <c r="E661" s="15"/>
      <c r="F661" s="15"/>
      <c r="G661" s="15"/>
      <c r="H661" s="15"/>
      <c r="I661" s="15"/>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8"/>
      <c r="AL661" s="9"/>
      <c r="AM661" s="9"/>
      <c r="AN661" s="11"/>
      <c r="AO661" s="11"/>
      <c r="AP661" s="11"/>
      <c r="AQ661" s="11"/>
      <c r="AR661" s="11"/>
      <c r="AS661" s="11"/>
      <c r="AT661" s="11"/>
      <c r="AU661" s="11"/>
      <c r="AV661" s="11"/>
      <c r="AW661" s="11"/>
      <c r="AX661" s="11"/>
      <c r="AY661" s="11"/>
      <c r="AZ661" s="11"/>
    </row>
    <row r="662" ht="15.75" customHeight="1">
      <c r="A662" s="12"/>
      <c r="B662" s="13"/>
      <c r="C662" s="14"/>
      <c r="D662" s="15"/>
      <c r="E662" s="15"/>
      <c r="F662" s="15"/>
      <c r="G662" s="15"/>
      <c r="H662" s="15"/>
      <c r="I662" s="15"/>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8"/>
      <c r="AL662" s="9"/>
      <c r="AM662" s="9"/>
      <c r="AN662" s="11"/>
      <c r="AO662" s="11"/>
      <c r="AP662" s="11"/>
      <c r="AQ662" s="11"/>
      <c r="AR662" s="11"/>
      <c r="AS662" s="11"/>
      <c r="AT662" s="11"/>
      <c r="AU662" s="11"/>
      <c r="AV662" s="11"/>
      <c r="AW662" s="11"/>
      <c r="AX662" s="11"/>
      <c r="AY662" s="11"/>
      <c r="AZ662" s="11"/>
    </row>
    <row r="663" ht="15.75" customHeight="1">
      <c r="A663" s="12"/>
      <c r="B663" s="13"/>
      <c r="C663" s="14"/>
      <c r="D663" s="15"/>
      <c r="E663" s="15"/>
      <c r="F663" s="15"/>
      <c r="G663" s="15"/>
      <c r="H663" s="15"/>
      <c r="I663" s="15"/>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8"/>
      <c r="AL663" s="9"/>
      <c r="AM663" s="9"/>
      <c r="AN663" s="11"/>
      <c r="AO663" s="11"/>
      <c r="AP663" s="11"/>
      <c r="AQ663" s="11"/>
      <c r="AR663" s="11"/>
      <c r="AS663" s="11"/>
      <c r="AT663" s="11"/>
      <c r="AU663" s="11"/>
      <c r="AV663" s="11"/>
      <c r="AW663" s="11"/>
      <c r="AX663" s="11"/>
      <c r="AY663" s="11"/>
      <c r="AZ663" s="11"/>
    </row>
    <row r="664" ht="15.75" customHeight="1">
      <c r="A664" s="12"/>
      <c r="B664" s="13"/>
      <c r="C664" s="14"/>
      <c r="D664" s="15"/>
      <c r="E664" s="15"/>
      <c r="F664" s="15"/>
      <c r="G664" s="15"/>
      <c r="H664" s="15"/>
      <c r="I664" s="15"/>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8"/>
      <c r="AL664" s="9"/>
      <c r="AM664" s="9"/>
      <c r="AN664" s="11"/>
      <c r="AO664" s="11"/>
      <c r="AP664" s="11"/>
      <c r="AQ664" s="11"/>
      <c r="AR664" s="11"/>
      <c r="AS664" s="11"/>
      <c r="AT664" s="11"/>
      <c r="AU664" s="11"/>
      <c r="AV664" s="11"/>
      <c r="AW664" s="11"/>
      <c r="AX664" s="11"/>
      <c r="AY664" s="11"/>
      <c r="AZ664" s="11"/>
    </row>
    <row r="665" ht="15.75" customHeight="1">
      <c r="A665" s="12"/>
      <c r="B665" s="13"/>
      <c r="C665" s="14"/>
      <c r="D665" s="15"/>
      <c r="E665" s="15"/>
      <c r="F665" s="15"/>
      <c r="G665" s="15"/>
      <c r="H665" s="15"/>
      <c r="I665" s="15"/>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8"/>
      <c r="AL665" s="9"/>
      <c r="AM665" s="9"/>
      <c r="AN665" s="11"/>
      <c r="AO665" s="11"/>
      <c r="AP665" s="11"/>
      <c r="AQ665" s="11"/>
      <c r="AR665" s="11"/>
      <c r="AS665" s="11"/>
      <c r="AT665" s="11"/>
      <c r="AU665" s="11"/>
      <c r="AV665" s="11"/>
      <c r="AW665" s="11"/>
      <c r="AX665" s="11"/>
      <c r="AY665" s="11"/>
      <c r="AZ665" s="11"/>
    </row>
    <row r="666" ht="15.75" customHeight="1">
      <c r="A666" s="12"/>
      <c r="B666" s="13"/>
      <c r="C666" s="14"/>
      <c r="D666" s="15"/>
      <c r="E666" s="15"/>
      <c r="F666" s="15"/>
      <c r="G666" s="15"/>
      <c r="H666" s="15"/>
      <c r="I666" s="15"/>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8"/>
      <c r="AL666" s="9"/>
      <c r="AM666" s="9"/>
      <c r="AN666" s="11"/>
      <c r="AO666" s="11"/>
      <c r="AP666" s="11"/>
      <c r="AQ666" s="11"/>
      <c r="AR666" s="11"/>
      <c r="AS666" s="11"/>
      <c r="AT666" s="11"/>
      <c r="AU666" s="11"/>
      <c r="AV666" s="11"/>
      <c r="AW666" s="11"/>
      <c r="AX666" s="11"/>
      <c r="AY666" s="11"/>
      <c r="AZ666" s="11"/>
    </row>
    <row r="667" ht="15.75" customHeight="1">
      <c r="A667" s="12"/>
      <c r="B667" s="13"/>
      <c r="C667" s="14"/>
      <c r="D667" s="15"/>
      <c r="E667" s="15"/>
      <c r="F667" s="15"/>
      <c r="G667" s="15"/>
      <c r="H667" s="15"/>
      <c r="I667" s="15"/>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8"/>
      <c r="AL667" s="9"/>
      <c r="AM667" s="9"/>
      <c r="AN667" s="11"/>
      <c r="AO667" s="11"/>
      <c r="AP667" s="11"/>
      <c r="AQ667" s="11"/>
      <c r="AR667" s="11"/>
      <c r="AS667" s="11"/>
      <c r="AT667" s="11"/>
      <c r="AU667" s="11"/>
      <c r="AV667" s="11"/>
      <c r="AW667" s="11"/>
      <c r="AX667" s="11"/>
      <c r="AY667" s="11"/>
      <c r="AZ667" s="11"/>
    </row>
    <row r="668" ht="15.75" customHeight="1">
      <c r="A668" s="12"/>
      <c r="B668" s="13"/>
      <c r="C668" s="14"/>
      <c r="D668" s="15"/>
      <c r="E668" s="15"/>
      <c r="F668" s="15"/>
      <c r="G668" s="15"/>
      <c r="H668" s="15"/>
      <c r="I668" s="15"/>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8"/>
      <c r="AL668" s="9"/>
      <c r="AM668" s="9"/>
      <c r="AN668" s="11"/>
      <c r="AO668" s="11"/>
      <c r="AP668" s="11"/>
      <c r="AQ668" s="11"/>
      <c r="AR668" s="11"/>
      <c r="AS668" s="11"/>
      <c r="AT668" s="11"/>
      <c r="AU668" s="11"/>
      <c r="AV668" s="11"/>
      <c r="AW668" s="11"/>
      <c r="AX668" s="11"/>
      <c r="AY668" s="11"/>
      <c r="AZ668" s="11"/>
    </row>
    <row r="669" ht="15.75" customHeight="1">
      <c r="A669" s="12"/>
      <c r="B669" s="13"/>
      <c r="C669" s="14"/>
      <c r="D669" s="15"/>
      <c r="E669" s="15"/>
      <c r="F669" s="15"/>
      <c r="G669" s="15"/>
      <c r="H669" s="15"/>
      <c r="I669" s="15"/>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8"/>
      <c r="AL669" s="9"/>
      <c r="AM669" s="9"/>
      <c r="AN669" s="11"/>
      <c r="AO669" s="11"/>
      <c r="AP669" s="11"/>
      <c r="AQ669" s="11"/>
      <c r="AR669" s="11"/>
      <c r="AS669" s="11"/>
      <c r="AT669" s="11"/>
      <c r="AU669" s="11"/>
      <c r="AV669" s="11"/>
      <c r="AW669" s="11"/>
      <c r="AX669" s="11"/>
      <c r="AY669" s="11"/>
      <c r="AZ669" s="11"/>
    </row>
    <row r="670" ht="15.75" customHeight="1">
      <c r="A670" s="12"/>
      <c r="B670" s="13"/>
      <c r="C670" s="14"/>
      <c r="D670" s="15"/>
      <c r="E670" s="15"/>
      <c r="F670" s="15"/>
      <c r="G670" s="15"/>
      <c r="H670" s="15"/>
      <c r="I670" s="15"/>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8"/>
      <c r="AL670" s="9"/>
      <c r="AM670" s="9"/>
      <c r="AN670" s="11"/>
      <c r="AO670" s="11"/>
      <c r="AP670" s="11"/>
      <c r="AQ670" s="11"/>
      <c r="AR670" s="11"/>
      <c r="AS670" s="11"/>
      <c r="AT670" s="11"/>
      <c r="AU670" s="11"/>
      <c r="AV670" s="11"/>
      <c r="AW670" s="11"/>
      <c r="AX670" s="11"/>
      <c r="AY670" s="11"/>
      <c r="AZ670" s="11"/>
    </row>
    <row r="671" ht="15.75" customHeight="1">
      <c r="A671" s="12"/>
      <c r="B671" s="13"/>
      <c r="C671" s="14"/>
      <c r="D671" s="15"/>
      <c r="E671" s="15"/>
      <c r="F671" s="15"/>
      <c r="G671" s="15"/>
      <c r="H671" s="15"/>
      <c r="I671" s="15"/>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8"/>
      <c r="AL671" s="9"/>
      <c r="AM671" s="9"/>
      <c r="AN671" s="11"/>
      <c r="AO671" s="11"/>
      <c r="AP671" s="11"/>
      <c r="AQ671" s="11"/>
      <c r="AR671" s="11"/>
      <c r="AS671" s="11"/>
      <c r="AT671" s="11"/>
      <c r="AU671" s="11"/>
      <c r="AV671" s="11"/>
      <c r="AW671" s="11"/>
      <c r="AX671" s="11"/>
      <c r="AY671" s="11"/>
      <c r="AZ671" s="11"/>
    </row>
    <row r="672" ht="15.75" customHeight="1">
      <c r="A672" s="12"/>
      <c r="B672" s="13"/>
      <c r="C672" s="14"/>
      <c r="D672" s="15"/>
      <c r="E672" s="15"/>
      <c r="F672" s="15"/>
      <c r="G672" s="15"/>
      <c r="H672" s="15"/>
      <c r="I672" s="15"/>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8"/>
      <c r="AL672" s="9"/>
      <c r="AM672" s="9"/>
      <c r="AN672" s="11"/>
      <c r="AO672" s="11"/>
      <c r="AP672" s="11"/>
      <c r="AQ672" s="11"/>
      <c r="AR672" s="11"/>
      <c r="AS672" s="11"/>
      <c r="AT672" s="11"/>
      <c r="AU672" s="11"/>
      <c r="AV672" s="11"/>
      <c r="AW672" s="11"/>
      <c r="AX672" s="11"/>
      <c r="AY672" s="11"/>
      <c r="AZ672" s="11"/>
    </row>
    <row r="673" ht="15.75" customHeight="1">
      <c r="A673" s="12"/>
      <c r="B673" s="13"/>
      <c r="C673" s="14"/>
      <c r="D673" s="15"/>
      <c r="E673" s="15"/>
      <c r="F673" s="15"/>
      <c r="G673" s="15"/>
      <c r="H673" s="15"/>
      <c r="I673" s="15"/>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8"/>
      <c r="AL673" s="9"/>
      <c r="AM673" s="9"/>
      <c r="AN673" s="11"/>
      <c r="AO673" s="11"/>
      <c r="AP673" s="11"/>
      <c r="AQ673" s="11"/>
      <c r="AR673" s="11"/>
      <c r="AS673" s="11"/>
      <c r="AT673" s="11"/>
      <c r="AU673" s="11"/>
      <c r="AV673" s="11"/>
      <c r="AW673" s="11"/>
      <c r="AX673" s="11"/>
      <c r="AY673" s="11"/>
      <c r="AZ673" s="11"/>
    </row>
    <row r="674" ht="15.75" customHeight="1">
      <c r="A674" s="12"/>
      <c r="B674" s="13"/>
      <c r="C674" s="14"/>
      <c r="D674" s="15"/>
      <c r="E674" s="15"/>
      <c r="F674" s="15"/>
      <c r="G674" s="15"/>
      <c r="H674" s="15"/>
      <c r="I674" s="15"/>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8"/>
      <c r="AL674" s="9"/>
      <c r="AM674" s="9"/>
      <c r="AN674" s="11"/>
      <c r="AO674" s="11"/>
      <c r="AP674" s="11"/>
      <c r="AQ674" s="11"/>
      <c r="AR674" s="11"/>
      <c r="AS674" s="11"/>
      <c r="AT674" s="11"/>
      <c r="AU674" s="11"/>
      <c r="AV674" s="11"/>
      <c r="AW674" s="11"/>
      <c r="AX674" s="11"/>
      <c r="AY674" s="11"/>
      <c r="AZ674" s="11"/>
    </row>
    <row r="675" ht="15.75" customHeight="1">
      <c r="A675" s="12"/>
      <c r="B675" s="13"/>
      <c r="C675" s="14"/>
      <c r="D675" s="15"/>
      <c r="E675" s="15"/>
      <c r="F675" s="15"/>
      <c r="G675" s="15"/>
      <c r="H675" s="15"/>
      <c r="I675" s="15"/>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8"/>
      <c r="AL675" s="9"/>
      <c r="AM675" s="9"/>
      <c r="AN675" s="11"/>
      <c r="AO675" s="11"/>
      <c r="AP675" s="11"/>
      <c r="AQ675" s="11"/>
      <c r="AR675" s="11"/>
      <c r="AS675" s="11"/>
      <c r="AT675" s="11"/>
      <c r="AU675" s="11"/>
      <c r="AV675" s="11"/>
      <c r="AW675" s="11"/>
      <c r="AX675" s="11"/>
      <c r="AY675" s="11"/>
      <c r="AZ675" s="11"/>
    </row>
    <row r="676" ht="15.75" customHeight="1">
      <c r="A676" s="12"/>
      <c r="B676" s="13"/>
      <c r="C676" s="14"/>
      <c r="D676" s="15"/>
      <c r="E676" s="15"/>
      <c r="F676" s="15"/>
      <c r="G676" s="15"/>
      <c r="H676" s="15"/>
      <c r="I676" s="15"/>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8"/>
      <c r="AL676" s="9"/>
      <c r="AM676" s="9"/>
      <c r="AN676" s="11"/>
      <c r="AO676" s="11"/>
      <c r="AP676" s="11"/>
      <c r="AQ676" s="11"/>
      <c r="AR676" s="11"/>
      <c r="AS676" s="11"/>
      <c r="AT676" s="11"/>
      <c r="AU676" s="11"/>
      <c r="AV676" s="11"/>
      <c r="AW676" s="11"/>
      <c r="AX676" s="11"/>
      <c r="AY676" s="11"/>
      <c r="AZ676" s="11"/>
    </row>
    <row r="677" ht="15.75" customHeight="1">
      <c r="A677" s="12"/>
      <c r="B677" s="13"/>
      <c r="C677" s="14"/>
      <c r="D677" s="15"/>
      <c r="E677" s="15"/>
      <c r="F677" s="15"/>
      <c r="G677" s="15"/>
      <c r="H677" s="15"/>
      <c r="I677" s="15"/>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8"/>
      <c r="AL677" s="9"/>
      <c r="AM677" s="9"/>
      <c r="AN677" s="11"/>
      <c r="AO677" s="11"/>
      <c r="AP677" s="11"/>
      <c r="AQ677" s="11"/>
      <c r="AR677" s="11"/>
      <c r="AS677" s="11"/>
      <c r="AT677" s="11"/>
      <c r="AU677" s="11"/>
      <c r="AV677" s="11"/>
      <c r="AW677" s="11"/>
      <c r="AX677" s="11"/>
      <c r="AY677" s="11"/>
      <c r="AZ677" s="11"/>
    </row>
    <row r="678" ht="15.75" customHeight="1">
      <c r="A678" s="12"/>
      <c r="B678" s="13"/>
      <c r="C678" s="14"/>
      <c r="D678" s="15"/>
      <c r="E678" s="15"/>
      <c r="F678" s="15"/>
      <c r="G678" s="15"/>
      <c r="H678" s="15"/>
      <c r="I678" s="15"/>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8"/>
      <c r="AL678" s="9"/>
      <c r="AM678" s="9"/>
      <c r="AN678" s="11"/>
      <c r="AO678" s="11"/>
      <c r="AP678" s="11"/>
      <c r="AQ678" s="11"/>
      <c r="AR678" s="11"/>
      <c r="AS678" s="11"/>
      <c r="AT678" s="11"/>
      <c r="AU678" s="11"/>
      <c r="AV678" s="11"/>
      <c r="AW678" s="11"/>
      <c r="AX678" s="11"/>
      <c r="AY678" s="11"/>
      <c r="AZ678" s="11"/>
    </row>
    <row r="679" ht="15.75" customHeight="1">
      <c r="A679" s="12"/>
      <c r="B679" s="13"/>
      <c r="C679" s="14"/>
      <c r="D679" s="15"/>
      <c r="E679" s="15"/>
      <c r="F679" s="15"/>
      <c r="G679" s="15"/>
      <c r="H679" s="15"/>
      <c r="I679" s="15"/>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8"/>
      <c r="AL679" s="9"/>
      <c r="AM679" s="9"/>
      <c r="AN679" s="11"/>
      <c r="AO679" s="11"/>
      <c r="AP679" s="11"/>
      <c r="AQ679" s="11"/>
      <c r="AR679" s="11"/>
      <c r="AS679" s="11"/>
      <c r="AT679" s="11"/>
      <c r="AU679" s="11"/>
      <c r="AV679" s="11"/>
      <c r="AW679" s="11"/>
      <c r="AX679" s="11"/>
      <c r="AY679" s="11"/>
      <c r="AZ679" s="11"/>
    </row>
    <row r="680" ht="15.75" customHeight="1">
      <c r="A680" s="12"/>
      <c r="B680" s="13"/>
      <c r="C680" s="14"/>
      <c r="D680" s="15"/>
      <c r="E680" s="15"/>
      <c r="F680" s="15"/>
      <c r="G680" s="15"/>
      <c r="H680" s="15"/>
      <c r="I680" s="15"/>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8"/>
      <c r="AL680" s="9"/>
      <c r="AM680" s="9"/>
      <c r="AN680" s="11"/>
      <c r="AO680" s="11"/>
      <c r="AP680" s="11"/>
      <c r="AQ680" s="11"/>
      <c r="AR680" s="11"/>
      <c r="AS680" s="11"/>
      <c r="AT680" s="11"/>
      <c r="AU680" s="11"/>
      <c r="AV680" s="11"/>
      <c r="AW680" s="11"/>
      <c r="AX680" s="11"/>
      <c r="AY680" s="11"/>
      <c r="AZ680" s="11"/>
    </row>
    <row r="681" ht="15.75" customHeight="1">
      <c r="A681" s="12"/>
      <c r="B681" s="13"/>
      <c r="C681" s="14"/>
      <c r="D681" s="15"/>
      <c r="E681" s="15"/>
      <c r="F681" s="15"/>
      <c r="G681" s="15"/>
      <c r="H681" s="15"/>
      <c r="I681" s="15"/>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8"/>
      <c r="AL681" s="9"/>
      <c r="AM681" s="9"/>
      <c r="AN681" s="11"/>
      <c r="AO681" s="11"/>
      <c r="AP681" s="11"/>
      <c r="AQ681" s="11"/>
      <c r="AR681" s="11"/>
      <c r="AS681" s="11"/>
      <c r="AT681" s="11"/>
      <c r="AU681" s="11"/>
      <c r="AV681" s="11"/>
      <c r="AW681" s="11"/>
      <c r="AX681" s="11"/>
      <c r="AY681" s="11"/>
      <c r="AZ681" s="11"/>
    </row>
    <row r="682" ht="15.75" customHeight="1">
      <c r="A682" s="12"/>
      <c r="B682" s="13"/>
      <c r="C682" s="14"/>
      <c r="D682" s="15"/>
      <c r="E682" s="15"/>
      <c r="F682" s="15"/>
      <c r="G682" s="15"/>
      <c r="H682" s="15"/>
      <c r="I682" s="15"/>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8"/>
      <c r="AL682" s="9"/>
      <c r="AM682" s="9"/>
      <c r="AN682" s="11"/>
      <c r="AO682" s="11"/>
      <c r="AP682" s="11"/>
      <c r="AQ682" s="11"/>
      <c r="AR682" s="11"/>
      <c r="AS682" s="11"/>
      <c r="AT682" s="11"/>
      <c r="AU682" s="11"/>
      <c r="AV682" s="11"/>
      <c r="AW682" s="11"/>
      <c r="AX682" s="11"/>
      <c r="AY682" s="11"/>
      <c r="AZ682" s="11"/>
    </row>
    <row r="683" ht="15.75" customHeight="1">
      <c r="A683" s="12"/>
      <c r="B683" s="13"/>
      <c r="C683" s="14"/>
      <c r="D683" s="15"/>
      <c r="E683" s="15"/>
      <c r="F683" s="15"/>
      <c r="G683" s="15"/>
      <c r="H683" s="15"/>
      <c r="I683" s="15"/>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8"/>
      <c r="AL683" s="9"/>
      <c r="AM683" s="9"/>
      <c r="AN683" s="11"/>
      <c r="AO683" s="11"/>
      <c r="AP683" s="11"/>
      <c r="AQ683" s="11"/>
      <c r="AR683" s="11"/>
      <c r="AS683" s="11"/>
      <c r="AT683" s="11"/>
      <c r="AU683" s="11"/>
      <c r="AV683" s="11"/>
      <c r="AW683" s="11"/>
      <c r="AX683" s="11"/>
      <c r="AY683" s="11"/>
      <c r="AZ683" s="11"/>
    </row>
    <row r="684" ht="15.75" customHeight="1">
      <c r="A684" s="12"/>
      <c r="B684" s="13"/>
      <c r="C684" s="14"/>
      <c r="D684" s="15"/>
      <c r="E684" s="15"/>
      <c r="F684" s="15"/>
      <c r="G684" s="15"/>
      <c r="H684" s="15"/>
      <c r="I684" s="15"/>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8"/>
      <c r="AL684" s="9"/>
      <c r="AM684" s="9"/>
      <c r="AN684" s="11"/>
      <c r="AO684" s="11"/>
      <c r="AP684" s="11"/>
      <c r="AQ684" s="11"/>
      <c r="AR684" s="11"/>
      <c r="AS684" s="11"/>
      <c r="AT684" s="11"/>
      <c r="AU684" s="11"/>
      <c r="AV684" s="11"/>
      <c r="AW684" s="11"/>
      <c r="AX684" s="11"/>
      <c r="AY684" s="11"/>
      <c r="AZ684" s="11"/>
    </row>
    <row r="685" ht="15.75" customHeight="1">
      <c r="A685" s="12"/>
      <c r="B685" s="13"/>
      <c r="C685" s="14"/>
      <c r="D685" s="15"/>
      <c r="E685" s="15"/>
      <c r="F685" s="15"/>
      <c r="G685" s="15"/>
      <c r="H685" s="15"/>
      <c r="I685" s="15"/>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8"/>
      <c r="AL685" s="9"/>
      <c r="AM685" s="9"/>
      <c r="AN685" s="11"/>
      <c r="AO685" s="11"/>
      <c r="AP685" s="11"/>
      <c r="AQ685" s="11"/>
      <c r="AR685" s="11"/>
      <c r="AS685" s="11"/>
      <c r="AT685" s="11"/>
      <c r="AU685" s="11"/>
      <c r="AV685" s="11"/>
      <c r="AW685" s="11"/>
      <c r="AX685" s="11"/>
      <c r="AY685" s="11"/>
      <c r="AZ685" s="11"/>
    </row>
    <row r="686" ht="15.75" customHeight="1">
      <c r="A686" s="12"/>
      <c r="B686" s="13"/>
      <c r="C686" s="14"/>
      <c r="D686" s="15"/>
      <c r="E686" s="15"/>
      <c r="F686" s="15"/>
      <c r="G686" s="15"/>
      <c r="H686" s="15"/>
      <c r="I686" s="15"/>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8"/>
      <c r="AL686" s="9"/>
      <c r="AM686" s="9"/>
      <c r="AN686" s="11"/>
      <c r="AO686" s="11"/>
      <c r="AP686" s="11"/>
      <c r="AQ686" s="11"/>
      <c r="AR686" s="11"/>
      <c r="AS686" s="11"/>
      <c r="AT686" s="11"/>
      <c r="AU686" s="11"/>
      <c r="AV686" s="11"/>
      <c r="AW686" s="11"/>
      <c r="AX686" s="11"/>
      <c r="AY686" s="11"/>
      <c r="AZ686" s="11"/>
    </row>
    <row r="687" ht="15.75" customHeight="1">
      <c r="A687" s="12"/>
      <c r="B687" s="13"/>
      <c r="C687" s="14"/>
      <c r="D687" s="15"/>
      <c r="E687" s="15"/>
      <c r="F687" s="15"/>
      <c r="G687" s="15"/>
      <c r="H687" s="15"/>
      <c r="I687" s="15"/>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8"/>
      <c r="AL687" s="9"/>
      <c r="AM687" s="9"/>
      <c r="AN687" s="11"/>
      <c r="AO687" s="11"/>
      <c r="AP687" s="11"/>
      <c r="AQ687" s="11"/>
      <c r="AR687" s="11"/>
      <c r="AS687" s="11"/>
      <c r="AT687" s="11"/>
      <c r="AU687" s="11"/>
      <c r="AV687" s="11"/>
      <c r="AW687" s="11"/>
      <c r="AX687" s="11"/>
      <c r="AY687" s="11"/>
      <c r="AZ687" s="11"/>
    </row>
    <row r="688" ht="15.75" customHeight="1">
      <c r="A688" s="12"/>
      <c r="B688" s="13"/>
      <c r="C688" s="14"/>
      <c r="D688" s="15"/>
      <c r="E688" s="15"/>
      <c r="F688" s="15"/>
      <c r="G688" s="15"/>
      <c r="H688" s="15"/>
      <c r="I688" s="15"/>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8"/>
      <c r="AL688" s="9"/>
      <c r="AM688" s="9"/>
      <c r="AN688" s="11"/>
      <c r="AO688" s="11"/>
      <c r="AP688" s="11"/>
      <c r="AQ688" s="11"/>
      <c r="AR688" s="11"/>
      <c r="AS688" s="11"/>
      <c r="AT688" s="11"/>
      <c r="AU688" s="11"/>
      <c r="AV688" s="11"/>
      <c r="AW688" s="11"/>
      <c r="AX688" s="11"/>
      <c r="AY688" s="11"/>
      <c r="AZ688" s="11"/>
    </row>
    <row r="689" ht="15.75" customHeight="1">
      <c r="A689" s="12"/>
      <c r="B689" s="13"/>
      <c r="C689" s="14"/>
      <c r="D689" s="15"/>
      <c r="E689" s="15"/>
      <c r="F689" s="15"/>
      <c r="G689" s="15"/>
      <c r="H689" s="15"/>
      <c r="I689" s="15"/>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8"/>
      <c r="AL689" s="9"/>
      <c r="AM689" s="9"/>
      <c r="AN689" s="11"/>
      <c r="AO689" s="11"/>
      <c r="AP689" s="11"/>
      <c r="AQ689" s="11"/>
      <c r="AR689" s="11"/>
      <c r="AS689" s="11"/>
      <c r="AT689" s="11"/>
      <c r="AU689" s="11"/>
      <c r="AV689" s="11"/>
      <c r="AW689" s="11"/>
      <c r="AX689" s="11"/>
      <c r="AY689" s="11"/>
      <c r="AZ689" s="11"/>
    </row>
    <row r="690" ht="15.75" customHeight="1">
      <c r="A690" s="12"/>
      <c r="B690" s="13"/>
      <c r="C690" s="14"/>
      <c r="D690" s="15"/>
      <c r="E690" s="15"/>
      <c r="F690" s="15"/>
      <c r="G690" s="15"/>
      <c r="H690" s="15"/>
      <c r="I690" s="15"/>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8"/>
      <c r="AL690" s="9"/>
      <c r="AM690" s="9"/>
      <c r="AN690" s="11"/>
      <c r="AO690" s="11"/>
      <c r="AP690" s="11"/>
      <c r="AQ690" s="11"/>
      <c r="AR690" s="11"/>
      <c r="AS690" s="11"/>
      <c r="AT690" s="11"/>
      <c r="AU690" s="11"/>
      <c r="AV690" s="11"/>
      <c r="AW690" s="11"/>
      <c r="AX690" s="11"/>
      <c r="AY690" s="11"/>
      <c r="AZ690" s="11"/>
    </row>
    <row r="691" ht="15.75" customHeight="1">
      <c r="A691" s="12"/>
      <c r="B691" s="13"/>
      <c r="C691" s="14"/>
      <c r="D691" s="15"/>
      <c r="E691" s="15"/>
      <c r="F691" s="15"/>
      <c r="G691" s="15"/>
      <c r="H691" s="15"/>
      <c r="I691" s="15"/>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8"/>
      <c r="AL691" s="9"/>
      <c r="AM691" s="9"/>
      <c r="AN691" s="11"/>
      <c r="AO691" s="11"/>
      <c r="AP691" s="11"/>
      <c r="AQ691" s="11"/>
      <c r="AR691" s="11"/>
      <c r="AS691" s="11"/>
      <c r="AT691" s="11"/>
      <c r="AU691" s="11"/>
      <c r="AV691" s="11"/>
      <c r="AW691" s="11"/>
      <c r="AX691" s="11"/>
      <c r="AY691" s="11"/>
      <c r="AZ691" s="11"/>
    </row>
    <row r="692" ht="15.75" customHeight="1">
      <c r="A692" s="12"/>
      <c r="B692" s="13"/>
      <c r="C692" s="14"/>
      <c r="D692" s="15"/>
      <c r="E692" s="15"/>
      <c r="F692" s="15"/>
      <c r="G692" s="15"/>
      <c r="H692" s="15"/>
      <c r="I692" s="15"/>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8"/>
      <c r="AL692" s="9"/>
      <c r="AM692" s="9"/>
      <c r="AN692" s="11"/>
      <c r="AO692" s="11"/>
      <c r="AP692" s="11"/>
      <c r="AQ692" s="11"/>
      <c r="AR692" s="11"/>
      <c r="AS692" s="11"/>
      <c r="AT692" s="11"/>
      <c r="AU692" s="11"/>
      <c r="AV692" s="11"/>
      <c r="AW692" s="11"/>
      <c r="AX692" s="11"/>
      <c r="AY692" s="11"/>
      <c r="AZ692" s="11"/>
    </row>
    <row r="693" ht="15.75" customHeight="1">
      <c r="A693" s="12"/>
      <c r="B693" s="13"/>
      <c r="C693" s="14"/>
      <c r="D693" s="15"/>
      <c r="E693" s="15"/>
      <c r="F693" s="15"/>
      <c r="G693" s="15"/>
      <c r="H693" s="15"/>
      <c r="I693" s="15"/>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8"/>
      <c r="AL693" s="9"/>
      <c r="AM693" s="9"/>
      <c r="AN693" s="11"/>
      <c r="AO693" s="11"/>
      <c r="AP693" s="11"/>
      <c r="AQ693" s="11"/>
      <c r="AR693" s="11"/>
      <c r="AS693" s="11"/>
      <c r="AT693" s="11"/>
      <c r="AU693" s="11"/>
      <c r="AV693" s="11"/>
      <c r="AW693" s="11"/>
      <c r="AX693" s="11"/>
      <c r="AY693" s="11"/>
      <c r="AZ693" s="11"/>
    </row>
    <row r="694" ht="15.75" customHeight="1">
      <c r="A694" s="12"/>
      <c r="B694" s="13"/>
      <c r="C694" s="14"/>
      <c r="D694" s="15"/>
      <c r="E694" s="15"/>
      <c r="F694" s="15"/>
      <c r="G694" s="15"/>
      <c r="H694" s="15"/>
      <c r="I694" s="15"/>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8"/>
      <c r="AL694" s="9"/>
      <c r="AM694" s="9"/>
      <c r="AN694" s="11"/>
      <c r="AO694" s="11"/>
      <c r="AP694" s="11"/>
      <c r="AQ694" s="11"/>
      <c r="AR694" s="11"/>
      <c r="AS694" s="11"/>
      <c r="AT694" s="11"/>
      <c r="AU694" s="11"/>
      <c r="AV694" s="11"/>
      <c r="AW694" s="11"/>
      <c r="AX694" s="11"/>
      <c r="AY694" s="11"/>
      <c r="AZ694" s="11"/>
    </row>
    <row r="695" ht="15.75" customHeight="1">
      <c r="A695" s="12"/>
      <c r="B695" s="13"/>
      <c r="C695" s="14"/>
      <c r="D695" s="15"/>
      <c r="E695" s="15"/>
      <c r="F695" s="15"/>
      <c r="G695" s="15"/>
      <c r="H695" s="15"/>
      <c r="I695" s="15"/>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8"/>
      <c r="AL695" s="9"/>
      <c r="AM695" s="9"/>
      <c r="AN695" s="11"/>
      <c r="AO695" s="11"/>
      <c r="AP695" s="11"/>
      <c r="AQ695" s="11"/>
      <c r="AR695" s="11"/>
      <c r="AS695" s="11"/>
      <c r="AT695" s="11"/>
      <c r="AU695" s="11"/>
      <c r="AV695" s="11"/>
      <c r="AW695" s="11"/>
      <c r="AX695" s="11"/>
      <c r="AY695" s="11"/>
      <c r="AZ695" s="11"/>
    </row>
    <row r="696" ht="15.75" customHeight="1">
      <c r="A696" s="12"/>
      <c r="B696" s="13"/>
      <c r="C696" s="14"/>
      <c r="D696" s="15"/>
      <c r="E696" s="15"/>
      <c r="F696" s="15"/>
      <c r="G696" s="15"/>
      <c r="H696" s="15"/>
      <c r="I696" s="15"/>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8"/>
      <c r="AL696" s="9"/>
      <c r="AM696" s="9"/>
      <c r="AN696" s="11"/>
      <c r="AO696" s="11"/>
      <c r="AP696" s="11"/>
      <c r="AQ696" s="11"/>
      <c r="AR696" s="11"/>
      <c r="AS696" s="11"/>
      <c r="AT696" s="11"/>
      <c r="AU696" s="11"/>
      <c r="AV696" s="11"/>
      <c r="AW696" s="11"/>
      <c r="AX696" s="11"/>
      <c r="AY696" s="11"/>
      <c r="AZ696" s="11"/>
    </row>
    <row r="697" ht="15.75" customHeight="1">
      <c r="A697" s="12"/>
      <c r="B697" s="13"/>
      <c r="C697" s="14"/>
      <c r="D697" s="15"/>
      <c r="E697" s="15"/>
      <c r="F697" s="15"/>
      <c r="G697" s="15"/>
      <c r="H697" s="15"/>
      <c r="I697" s="15"/>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8"/>
      <c r="AL697" s="9"/>
      <c r="AM697" s="9"/>
      <c r="AN697" s="11"/>
      <c r="AO697" s="11"/>
      <c r="AP697" s="11"/>
      <c r="AQ697" s="11"/>
      <c r="AR697" s="11"/>
      <c r="AS697" s="11"/>
      <c r="AT697" s="11"/>
      <c r="AU697" s="11"/>
      <c r="AV697" s="11"/>
      <c r="AW697" s="11"/>
      <c r="AX697" s="11"/>
      <c r="AY697" s="11"/>
      <c r="AZ697" s="11"/>
    </row>
    <row r="698" ht="15.75" customHeight="1">
      <c r="A698" s="12"/>
      <c r="B698" s="13"/>
      <c r="C698" s="14"/>
      <c r="D698" s="15"/>
      <c r="E698" s="15"/>
      <c r="F698" s="15"/>
      <c r="G698" s="15"/>
      <c r="H698" s="15"/>
      <c r="I698" s="15"/>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8"/>
      <c r="AL698" s="9"/>
      <c r="AM698" s="9"/>
      <c r="AN698" s="11"/>
      <c r="AO698" s="11"/>
      <c r="AP698" s="11"/>
      <c r="AQ698" s="11"/>
      <c r="AR698" s="11"/>
      <c r="AS698" s="11"/>
      <c r="AT698" s="11"/>
      <c r="AU698" s="11"/>
      <c r="AV698" s="11"/>
      <c r="AW698" s="11"/>
      <c r="AX698" s="11"/>
      <c r="AY698" s="11"/>
      <c r="AZ698" s="11"/>
    </row>
    <row r="699" ht="15.75" customHeight="1">
      <c r="A699" s="12"/>
      <c r="B699" s="13"/>
      <c r="C699" s="14"/>
      <c r="D699" s="15"/>
      <c r="E699" s="15"/>
      <c r="F699" s="15"/>
      <c r="G699" s="15"/>
      <c r="H699" s="15"/>
      <c r="I699" s="15"/>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8"/>
      <c r="AL699" s="9"/>
      <c r="AM699" s="9"/>
      <c r="AN699" s="11"/>
      <c r="AO699" s="11"/>
      <c r="AP699" s="11"/>
      <c r="AQ699" s="11"/>
      <c r="AR699" s="11"/>
      <c r="AS699" s="11"/>
      <c r="AT699" s="11"/>
      <c r="AU699" s="11"/>
      <c r="AV699" s="11"/>
      <c r="AW699" s="11"/>
      <c r="AX699" s="11"/>
      <c r="AY699" s="11"/>
      <c r="AZ699" s="11"/>
    </row>
    <row r="700" ht="15.75" customHeight="1">
      <c r="A700" s="12"/>
      <c r="B700" s="13"/>
      <c r="C700" s="14"/>
      <c r="D700" s="15"/>
      <c r="E700" s="15"/>
      <c r="F700" s="15"/>
      <c r="G700" s="15"/>
      <c r="H700" s="15"/>
      <c r="I700" s="15"/>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8"/>
      <c r="AL700" s="9"/>
      <c r="AM700" s="9"/>
      <c r="AN700" s="11"/>
      <c r="AO700" s="11"/>
      <c r="AP700" s="11"/>
      <c r="AQ700" s="11"/>
      <c r="AR700" s="11"/>
      <c r="AS700" s="11"/>
      <c r="AT700" s="11"/>
      <c r="AU700" s="11"/>
      <c r="AV700" s="11"/>
      <c r="AW700" s="11"/>
      <c r="AX700" s="11"/>
      <c r="AY700" s="11"/>
      <c r="AZ700" s="11"/>
    </row>
    <row r="701" ht="15.75" customHeight="1">
      <c r="A701" s="12"/>
      <c r="B701" s="13"/>
      <c r="C701" s="14"/>
      <c r="D701" s="15"/>
      <c r="E701" s="15"/>
      <c r="F701" s="15"/>
      <c r="G701" s="15"/>
      <c r="H701" s="15"/>
      <c r="I701" s="15"/>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8"/>
      <c r="AL701" s="9"/>
      <c r="AM701" s="9"/>
      <c r="AN701" s="11"/>
      <c r="AO701" s="11"/>
      <c r="AP701" s="11"/>
      <c r="AQ701" s="11"/>
      <c r="AR701" s="11"/>
      <c r="AS701" s="11"/>
      <c r="AT701" s="11"/>
      <c r="AU701" s="11"/>
      <c r="AV701" s="11"/>
      <c r="AW701" s="11"/>
      <c r="AX701" s="11"/>
      <c r="AY701" s="11"/>
      <c r="AZ701" s="11"/>
    </row>
    <row r="702" ht="15.75" customHeight="1">
      <c r="A702" s="12"/>
      <c r="B702" s="13"/>
      <c r="C702" s="14"/>
      <c r="D702" s="15"/>
      <c r="E702" s="15"/>
      <c r="F702" s="15"/>
      <c r="G702" s="15"/>
      <c r="H702" s="15"/>
      <c r="I702" s="15"/>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8"/>
      <c r="AL702" s="9"/>
      <c r="AM702" s="9"/>
      <c r="AN702" s="11"/>
      <c r="AO702" s="11"/>
      <c r="AP702" s="11"/>
      <c r="AQ702" s="11"/>
      <c r="AR702" s="11"/>
      <c r="AS702" s="11"/>
      <c r="AT702" s="11"/>
      <c r="AU702" s="11"/>
      <c r="AV702" s="11"/>
      <c r="AW702" s="11"/>
      <c r="AX702" s="11"/>
      <c r="AY702" s="11"/>
      <c r="AZ702" s="11"/>
    </row>
    <row r="703" ht="15.75" customHeight="1">
      <c r="A703" s="12"/>
      <c r="B703" s="13"/>
      <c r="C703" s="14"/>
      <c r="D703" s="15"/>
      <c r="E703" s="15"/>
      <c r="F703" s="15"/>
      <c r="G703" s="15"/>
      <c r="H703" s="15"/>
      <c r="I703" s="15"/>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8"/>
      <c r="AL703" s="9"/>
      <c r="AM703" s="9"/>
      <c r="AN703" s="11"/>
      <c r="AO703" s="11"/>
      <c r="AP703" s="11"/>
      <c r="AQ703" s="11"/>
      <c r="AR703" s="11"/>
      <c r="AS703" s="11"/>
      <c r="AT703" s="11"/>
      <c r="AU703" s="11"/>
      <c r="AV703" s="11"/>
      <c r="AW703" s="11"/>
      <c r="AX703" s="11"/>
      <c r="AY703" s="11"/>
      <c r="AZ703" s="11"/>
    </row>
    <row r="704" ht="15.75" customHeight="1">
      <c r="A704" s="12"/>
      <c r="B704" s="13"/>
      <c r="C704" s="14"/>
      <c r="D704" s="15"/>
      <c r="E704" s="15"/>
      <c r="F704" s="15"/>
      <c r="G704" s="15"/>
      <c r="H704" s="15"/>
      <c r="I704" s="15"/>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8"/>
      <c r="AL704" s="9"/>
      <c r="AM704" s="9"/>
      <c r="AN704" s="11"/>
      <c r="AO704" s="11"/>
      <c r="AP704" s="11"/>
      <c r="AQ704" s="11"/>
      <c r="AR704" s="11"/>
      <c r="AS704" s="11"/>
      <c r="AT704" s="11"/>
      <c r="AU704" s="11"/>
      <c r="AV704" s="11"/>
      <c r="AW704" s="11"/>
      <c r="AX704" s="11"/>
      <c r="AY704" s="11"/>
      <c r="AZ704" s="11"/>
    </row>
    <row r="705" ht="15.75" customHeight="1">
      <c r="A705" s="12"/>
      <c r="B705" s="13"/>
      <c r="C705" s="14"/>
      <c r="D705" s="15"/>
      <c r="E705" s="15"/>
      <c r="F705" s="15"/>
      <c r="G705" s="15"/>
      <c r="H705" s="15"/>
      <c r="I705" s="15"/>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8"/>
      <c r="AL705" s="9"/>
      <c r="AM705" s="9"/>
      <c r="AN705" s="11"/>
      <c r="AO705" s="11"/>
      <c r="AP705" s="11"/>
      <c r="AQ705" s="11"/>
      <c r="AR705" s="11"/>
      <c r="AS705" s="11"/>
      <c r="AT705" s="11"/>
      <c r="AU705" s="11"/>
      <c r="AV705" s="11"/>
      <c r="AW705" s="11"/>
      <c r="AX705" s="11"/>
      <c r="AY705" s="11"/>
      <c r="AZ705" s="11"/>
    </row>
    <row r="706" ht="15.75" customHeight="1">
      <c r="A706" s="12"/>
      <c r="B706" s="13"/>
      <c r="C706" s="14"/>
      <c r="D706" s="15"/>
      <c r="E706" s="15"/>
      <c r="F706" s="15"/>
      <c r="G706" s="15"/>
      <c r="H706" s="15"/>
      <c r="I706" s="15"/>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8"/>
      <c r="AL706" s="9"/>
      <c r="AM706" s="9"/>
      <c r="AN706" s="11"/>
      <c r="AO706" s="11"/>
      <c r="AP706" s="11"/>
      <c r="AQ706" s="11"/>
      <c r="AR706" s="11"/>
      <c r="AS706" s="11"/>
      <c r="AT706" s="11"/>
      <c r="AU706" s="11"/>
      <c r="AV706" s="11"/>
      <c r="AW706" s="11"/>
      <c r="AX706" s="11"/>
      <c r="AY706" s="11"/>
      <c r="AZ706" s="11"/>
    </row>
    <row r="707" ht="15.75" customHeight="1">
      <c r="A707" s="12"/>
      <c r="B707" s="13"/>
      <c r="C707" s="14"/>
      <c r="D707" s="15"/>
      <c r="E707" s="15"/>
      <c r="F707" s="15"/>
      <c r="G707" s="15"/>
      <c r="H707" s="15"/>
      <c r="I707" s="15"/>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8"/>
      <c r="AL707" s="9"/>
      <c r="AM707" s="9"/>
      <c r="AN707" s="11"/>
      <c r="AO707" s="11"/>
      <c r="AP707" s="11"/>
      <c r="AQ707" s="11"/>
      <c r="AR707" s="11"/>
      <c r="AS707" s="11"/>
      <c r="AT707" s="11"/>
      <c r="AU707" s="11"/>
      <c r="AV707" s="11"/>
      <c r="AW707" s="11"/>
      <c r="AX707" s="11"/>
      <c r="AY707" s="11"/>
      <c r="AZ707" s="11"/>
    </row>
    <row r="708" ht="15.75" customHeight="1">
      <c r="A708" s="12"/>
      <c r="B708" s="13"/>
      <c r="C708" s="14"/>
      <c r="D708" s="15"/>
      <c r="E708" s="15"/>
      <c r="F708" s="15"/>
      <c r="G708" s="15"/>
      <c r="H708" s="15"/>
      <c r="I708" s="15"/>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8"/>
      <c r="AL708" s="9"/>
      <c r="AM708" s="9"/>
      <c r="AN708" s="11"/>
      <c r="AO708" s="11"/>
      <c r="AP708" s="11"/>
      <c r="AQ708" s="11"/>
      <c r="AR708" s="11"/>
      <c r="AS708" s="11"/>
      <c r="AT708" s="11"/>
      <c r="AU708" s="11"/>
      <c r="AV708" s="11"/>
      <c r="AW708" s="11"/>
      <c r="AX708" s="11"/>
      <c r="AY708" s="11"/>
      <c r="AZ708" s="11"/>
    </row>
    <row r="709" ht="15.75" customHeight="1">
      <c r="A709" s="12"/>
      <c r="B709" s="13"/>
      <c r="C709" s="14"/>
      <c r="D709" s="15"/>
      <c r="E709" s="15"/>
      <c r="F709" s="15"/>
      <c r="G709" s="15"/>
      <c r="H709" s="15"/>
      <c r="I709" s="15"/>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8"/>
      <c r="AL709" s="9"/>
      <c r="AM709" s="9"/>
      <c r="AN709" s="11"/>
      <c r="AO709" s="11"/>
      <c r="AP709" s="11"/>
      <c r="AQ709" s="11"/>
      <c r="AR709" s="11"/>
      <c r="AS709" s="11"/>
      <c r="AT709" s="11"/>
      <c r="AU709" s="11"/>
      <c r="AV709" s="11"/>
      <c r="AW709" s="11"/>
      <c r="AX709" s="11"/>
      <c r="AY709" s="11"/>
      <c r="AZ709" s="11"/>
    </row>
    <row r="710" ht="15.75" customHeight="1">
      <c r="A710" s="12"/>
      <c r="B710" s="13"/>
      <c r="C710" s="14"/>
      <c r="D710" s="15"/>
      <c r="E710" s="15"/>
      <c r="F710" s="15"/>
      <c r="G710" s="15"/>
      <c r="H710" s="15"/>
      <c r="I710" s="15"/>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8"/>
      <c r="AL710" s="9"/>
      <c r="AM710" s="9"/>
      <c r="AN710" s="11"/>
      <c r="AO710" s="11"/>
      <c r="AP710" s="11"/>
      <c r="AQ710" s="11"/>
      <c r="AR710" s="11"/>
      <c r="AS710" s="11"/>
      <c r="AT710" s="11"/>
      <c r="AU710" s="11"/>
      <c r="AV710" s="11"/>
      <c r="AW710" s="11"/>
      <c r="AX710" s="11"/>
      <c r="AY710" s="11"/>
      <c r="AZ710" s="11"/>
    </row>
    <row r="711" ht="15.75" customHeight="1">
      <c r="A711" s="12"/>
      <c r="B711" s="13"/>
      <c r="C711" s="14"/>
      <c r="D711" s="15"/>
      <c r="E711" s="15"/>
      <c r="F711" s="15"/>
      <c r="G711" s="15"/>
      <c r="H711" s="15"/>
      <c r="I711" s="15"/>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8"/>
      <c r="AL711" s="9"/>
      <c r="AM711" s="9"/>
      <c r="AN711" s="11"/>
      <c r="AO711" s="11"/>
      <c r="AP711" s="11"/>
      <c r="AQ711" s="11"/>
      <c r="AR711" s="11"/>
      <c r="AS711" s="11"/>
      <c r="AT711" s="11"/>
      <c r="AU711" s="11"/>
      <c r="AV711" s="11"/>
      <c r="AW711" s="11"/>
      <c r="AX711" s="11"/>
      <c r="AY711" s="11"/>
      <c r="AZ711" s="11"/>
    </row>
    <row r="712" ht="15.75" customHeight="1">
      <c r="A712" s="12"/>
      <c r="B712" s="13"/>
      <c r="C712" s="14"/>
      <c r="D712" s="15"/>
      <c r="E712" s="15"/>
      <c r="F712" s="15"/>
      <c r="G712" s="15"/>
      <c r="H712" s="15"/>
      <c r="I712" s="15"/>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8"/>
      <c r="AL712" s="9"/>
      <c r="AM712" s="9"/>
      <c r="AN712" s="11"/>
      <c r="AO712" s="11"/>
      <c r="AP712" s="11"/>
      <c r="AQ712" s="11"/>
      <c r="AR712" s="11"/>
      <c r="AS712" s="11"/>
      <c r="AT712" s="11"/>
      <c r="AU712" s="11"/>
      <c r="AV712" s="11"/>
      <c r="AW712" s="11"/>
      <c r="AX712" s="11"/>
      <c r="AY712" s="11"/>
      <c r="AZ712" s="11"/>
    </row>
    <row r="713" ht="15.75" customHeight="1">
      <c r="A713" s="12"/>
      <c r="B713" s="13"/>
      <c r="C713" s="14"/>
      <c r="D713" s="15"/>
      <c r="E713" s="15"/>
      <c r="F713" s="15"/>
      <c r="G713" s="15"/>
      <c r="H713" s="15"/>
      <c r="I713" s="15"/>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8"/>
      <c r="AL713" s="9"/>
      <c r="AM713" s="9"/>
      <c r="AN713" s="11"/>
      <c r="AO713" s="11"/>
      <c r="AP713" s="11"/>
      <c r="AQ713" s="11"/>
      <c r="AR713" s="11"/>
      <c r="AS713" s="11"/>
      <c r="AT713" s="11"/>
      <c r="AU713" s="11"/>
      <c r="AV713" s="11"/>
      <c r="AW713" s="11"/>
      <c r="AX713" s="11"/>
      <c r="AY713" s="11"/>
      <c r="AZ713" s="11"/>
    </row>
    <row r="714" ht="15.75" customHeight="1">
      <c r="A714" s="12"/>
      <c r="B714" s="13"/>
      <c r="C714" s="14"/>
      <c r="D714" s="15"/>
      <c r="E714" s="15"/>
      <c r="F714" s="15"/>
      <c r="G714" s="15"/>
      <c r="H714" s="15"/>
      <c r="I714" s="15"/>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8"/>
      <c r="AL714" s="9"/>
      <c r="AM714" s="9"/>
      <c r="AN714" s="11"/>
      <c r="AO714" s="11"/>
      <c r="AP714" s="11"/>
      <c r="AQ714" s="11"/>
      <c r="AR714" s="11"/>
      <c r="AS714" s="11"/>
      <c r="AT714" s="11"/>
      <c r="AU714" s="11"/>
      <c r="AV714" s="11"/>
      <c r="AW714" s="11"/>
      <c r="AX714" s="11"/>
      <c r="AY714" s="11"/>
      <c r="AZ714" s="11"/>
    </row>
    <row r="715" ht="15.75" customHeight="1">
      <c r="A715" s="12"/>
      <c r="B715" s="13"/>
      <c r="C715" s="14"/>
      <c r="D715" s="15"/>
      <c r="E715" s="15"/>
      <c r="F715" s="15"/>
      <c r="G715" s="15"/>
      <c r="H715" s="15"/>
      <c r="I715" s="15"/>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8"/>
      <c r="AL715" s="9"/>
      <c r="AM715" s="9"/>
      <c r="AN715" s="11"/>
      <c r="AO715" s="11"/>
      <c r="AP715" s="11"/>
      <c r="AQ715" s="11"/>
      <c r="AR715" s="11"/>
      <c r="AS715" s="11"/>
      <c r="AT715" s="11"/>
      <c r="AU715" s="11"/>
      <c r="AV715" s="11"/>
      <c r="AW715" s="11"/>
      <c r="AX715" s="11"/>
      <c r="AY715" s="11"/>
      <c r="AZ715" s="11"/>
    </row>
    <row r="716" ht="15.75" customHeight="1">
      <c r="A716" s="12"/>
      <c r="B716" s="13"/>
      <c r="C716" s="14"/>
      <c r="D716" s="15"/>
      <c r="E716" s="15"/>
      <c r="F716" s="15"/>
      <c r="G716" s="15"/>
      <c r="H716" s="15"/>
      <c r="I716" s="15"/>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8"/>
      <c r="AL716" s="9"/>
      <c r="AM716" s="9"/>
      <c r="AN716" s="11"/>
      <c r="AO716" s="11"/>
      <c r="AP716" s="11"/>
      <c r="AQ716" s="11"/>
      <c r="AR716" s="11"/>
      <c r="AS716" s="11"/>
      <c r="AT716" s="11"/>
      <c r="AU716" s="11"/>
      <c r="AV716" s="11"/>
      <c r="AW716" s="11"/>
      <c r="AX716" s="11"/>
      <c r="AY716" s="11"/>
      <c r="AZ716" s="11"/>
    </row>
    <row r="717" ht="15.75" customHeight="1">
      <c r="A717" s="12"/>
      <c r="B717" s="13"/>
      <c r="C717" s="14"/>
      <c r="D717" s="15"/>
      <c r="E717" s="15"/>
      <c r="F717" s="15"/>
      <c r="G717" s="15"/>
      <c r="H717" s="15"/>
      <c r="I717" s="15"/>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8"/>
      <c r="AL717" s="9"/>
      <c r="AM717" s="9"/>
      <c r="AN717" s="11"/>
      <c r="AO717" s="11"/>
      <c r="AP717" s="11"/>
      <c r="AQ717" s="11"/>
      <c r="AR717" s="11"/>
      <c r="AS717" s="11"/>
      <c r="AT717" s="11"/>
      <c r="AU717" s="11"/>
      <c r="AV717" s="11"/>
      <c r="AW717" s="11"/>
      <c r="AX717" s="11"/>
      <c r="AY717" s="11"/>
      <c r="AZ717" s="11"/>
    </row>
    <row r="718" ht="15.75" customHeight="1">
      <c r="A718" s="12"/>
      <c r="B718" s="13"/>
      <c r="C718" s="14"/>
      <c r="D718" s="15"/>
      <c r="E718" s="15"/>
      <c r="F718" s="15"/>
      <c r="G718" s="15"/>
      <c r="H718" s="15"/>
      <c r="I718" s="15"/>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8"/>
      <c r="AL718" s="9"/>
      <c r="AM718" s="9"/>
      <c r="AN718" s="11"/>
      <c r="AO718" s="11"/>
      <c r="AP718" s="11"/>
      <c r="AQ718" s="11"/>
      <c r="AR718" s="11"/>
      <c r="AS718" s="11"/>
      <c r="AT718" s="11"/>
      <c r="AU718" s="11"/>
      <c r="AV718" s="11"/>
      <c r="AW718" s="11"/>
      <c r="AX718" s="11"/>
      <c r="AY718" s="11"/>
      <c r="AZ718" s="11"/>
    </row>
    <row r="719" ht="15.75" customHeight="1">
      <c r="A719" s="12"/>
      <c r="B719" s="13"/>
      <c r="C719" s="14"/>
      <c r="D719" s="15"/>
      <c r="E719" s="15"/>
      <c r="F719" s="15"/>
      <c r="G719" s="15"/>
      <c r="H719" s="15"/>
      <c r="I719" s="15"/>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8"/>
      <c r="AL719" s="9"/>
      <c r="AM719" s="9"/>
      <c r="AN719" s="11"/>
      <c r="AO719" s="11"/>
      <c r="AP719" s="11"/>
      <c r="AQ719" s="11"/>
      <c r="AR719" s="11"/>
      <c r="AS719" s="11"/>
      <c r="AT719" s="11"/>
      <c r="AU719" s="11"/>
      <c r="AV719" s="11"/>
      <c r="AW719" s="11"/>
      <c r="AX719" s="11"/>
      <c r="AY719" s="11"/>
      <c r="AZ719" s="11"/>
    </row>
    <row r="720" ht="15.75" customHeight="1">
      <c r="A720" s="12"/>
      <c r="B720" s="13"/>
      <c r="C720" s="14"/>
      <c r="D720" s="15"/>
      <c r="E720" s="15"/>
      <c r="F720" s="15"/>
      <c r="G720" s="15"/>
      <c r="H720" s="15"/>
      <c r="I720" s="15"/>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8"/>
      <c r="AL720" s="9"/>
      <c r="AM720" s="9"/>
      <c r="AN720" s="11"/>
      <c r="AO720" s="11"/>
      <c r="AP720" s="11"/>
      <c r="AQ720" s="11"/>
      <c r="AR720" s="11"/>
      <c r="AS720" s="11"/>
      <c r="AT720" s="11"/>
      <c r="AU720" s="11"/>
      <c r="AV720" s="11"/>
      <c r="AW720" s="11"/>
      <c r="AX720" s="11"/>
      <c r="AY720" s="11"/>
      <c r="AZ720" s="11"/>
    </row>
    <row r="721" ht="15.75" customHeight="1">
      <c r="A721" s="12"/>
      <c r="B721" s="13"/>
      <c r="C721" s="14"/>
      <c r="D721" s="15"/>
      <c r="E721" s="15"/>
      <c r="F721" s="15"/>
      <c r="G721" s="15"/>
      <c r="H721" s="15"/>
      <c r="I721" s="15"/>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8"/>
      <c r="AL721" s="9"/>
      <c r="AM721" s="9"/>
      <c r="AN721" s="11"/>
      <c r="AO721" s="11"/>
      <c r="AP721" s="11"/>
      <c r="AQ721" s="11"/>
      <c r="AR721" s="11"/>
      <c r="AS721" s="11"/>
      <c r="AT721" s="11"/>
      <c r="AU721" s="11"/>
      <c r="AV721" s="11"/>
      <c r="AW721" s="11"/>
      <c r="AX721" s="11"/>
      <c r="AY721" s="11"/>
      <c r="AZ721" s="11"/>
    </row>
    <row r="722" ht="15.75" customHeight="1">
      <c r="A722" s="12"/>
      <c r="B722" s="13"/>
      <c r="C722" s="14"/>
      <c r="D722" s="15"/>
      <c r="E722" s="15"/>
      <c r="F722" s="15"/>
      <c r="G722" s="15"/>
      <c r="H722" s="15"/>
      <c r="I722" s="15"/>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8"/>
      <c r="AL722" s="9"/>
      <c r="AM722" s="9"/>
      <c r="AN722" s="11"/>
      <c r="AO722" s="11"/>
      <c r="AP722" s="11"/>
      <c r="AQ722" s="11"/>
      <c r="AR722" s="11"/>
      <c r="AS722" s="11"/>
      <c r="AT722" s="11"/>
      <c r="AU722" s="11"/>
      <c r="AV722" s="11"/>
      <c r="AW722" s="11"/>
      <c r="AX722" s="11"/>
      <c r="AY722" s="11"/>
      <c r="AZ722" s="11"/>
    </row>
    <row r="723" ht="15.75" customHeight="1">
      <c r="A723" s="12"/>
      <c r="B723" s="13"/>
      <c r="C723" s="14"/>
      <c r="D723" s="15"/>
      <c r="E723" s="15"/>
      <c r="F723" s="15"/>
      <c r="G723" s="15"/>
      <c r="H723" s="15"/>
      <c r="I723" s="15"/>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8"/>
      <c r="AL723" s="9"/>
      <c r="AM723" s="9"/>
      <c r="AN723" s="11"/>
      <c r="AO723" s="11"/>
      <c r="AP723" s="11"/>
      <c r="AQ723" s="11"/>
      <c r="AR723" s="11"/>
      <c r="AS723" s="11"/>
      <c r="AT723" s="11"/>
      <c r="AU723" s="11"/>
      <c r="AV723" s="11"/>
      <c r="AW723" s="11"/>
      <c r="AX723" s="11"/>
      <c r="AY723" s="11"/>
      <c r="AZ723" s="11"/>
    </row>
    <row r="724" ht="15.75" customHeight="1">
      <c r="A724" s="12"/>
      <c r="B724" s="13"/>
      <c r="C724" s="14"/>
      <c r="D724" s="15"/>
      <c r="E724" s="15"/>
      <c r="F724" s="15"/>
      <c r="G724" s="15"/>
      <c r="H724" s="15"/>
      <c r="I724" s="15"/>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8"/>
      <c r="AL724" s="9"/>
      <c r="AM724" s="9"/>
      <c r="AN724" s="11"/>
      <c r="AO724" s="11"/>
      <c r="AP724" s="11"/>
      <c r="AQ724" s="11"/>
      <c r="AR724" s="11"/>
      <c r="AS724" s="11"/>
      <c r="AT724" s="11"/>
      <c r="AU724" s="11"/>
      <c r="AV724" s="11"/>
      <c r="AW724" s="11"/>
      <c r="AX724" s="11"/>
      <c r="AY724" s="11"/>
      <c r="AZ724" s="11"/>
    </row>
    <row r="725" ht="15.75" customHeight="1">
      <c r="A725" s="12"/>
      <c r="B725" s="13"/>
      <c r="C725" s="14"/>
      <c r="D725" s="15"/>
      <c r="E725" s="15"/>
      <c r="F725" s="15"/>
      <c r="G725" s="15"/>
      <c r="H725" s="15"/>
      <c r="I725" s="15"/>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8"/>
      <c r="AL725" s="9"/>
      <c r="AM725" s="9"/>
      <c r="AN725" s="11"/>
      <c r="AO725" s="11"/>
      <c r="AP725" s="11"/>
      <c r="AQ725" s="11"/>
      <c r="AR725" s="11"/>
      <c r="AS725" s="11"/>
      <c r="AT725" s="11"/>
      <c r="AU725" s="11"/>
      <c r="AV725" s="11"/>
      <c r="AW725" s="11"/>
      <c r="AX725" s="11"/>
      <c r="AY725" s="11"/>
      <c r="AZ725" s="11"/>
    </row>
    <row r="726" ht="15.75" customHeight="1">
      <c r="A726" s="12"/>
      <c r="B726" s="13"/>
      <c r="C726" s="14"/>
      <c r="D726" s="15"/>
      <c r="E726" s="15"/>
      <c r="F726" s="15"/>
      <c r="G726" s="15"/>
      <c r="H726" s="15"/>
      <c r="I726" s="15"/>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8"/>
      <c r="AL726" s="9"/>
      <c r="AM726" s="9"/>
      <c r="AN726" s="11"/>
      <c r="AO726" s="11"/>
      <c r="AP726" s="11"/>
      <c r="AQ726" s="11"/>
      <c r="AR726" s="11"/>
      <c r="AS726" s="11"/>
      <c r="AT726" s="11"/>
      <c r="AU726" s="11"/>
      <c r="AV726" s="11"/>
      <c r="AW726" s="11"/>
      <c r="AX726" s="11"/>
      <c r="AY726" s="11"/>
      <c r="AZ726" s="11"/>
    </row>
    <row r="727" ht="15.75" customHeight="1">
      <c r="A727" s="12"/>
      <c r="B727" s="13"/>
      <c r="C727" s="14"/>
      <c r="D727" s="15"/>
      <c r="E727" s="15"/>
      <c r="F727" s="15"/>
      <c r="G727" s="15"/>
      <c r="H727" s="15"/>
      <c r="I727" s="15"/>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8"/>
      <c r="AL727" s="9"/>
      <c r="AM727" s="9"/>
      <c r="AN727" s="11"/>
      <c r="AO727" s="11"/>
      <c r="AP727" s="11"/>
      <c r="AQ727" s="11"/>
      <c r="AR727" s="11"/>
      <c r="AS727" s="11"/>
      <c r="AT727" s="11"/>
      <c r="AU727" s="11"/>
      <c r="AV727" s="11"/>
      <c r="AW727" s="11"/>
      <c r="AX727" s="11"/>
      <c r="AY727" s="11"/>
      <c r="AZ727" s="11"/>
    </row>
    <row r="728" ht="15.75" customHeight="1">
      <c r="A728" s="12"/>
      <c r="B728" s="13"/>
      <c r="C728" s="14"/>
      <c r="D728" s="15"/>
      <c r="E728" s="15"/>
      <c r="F728" s="15"/>
      <c r="G728" s="15"/>
      <c r="H728" s="15"/>
      <c r="I728" s="15"/>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8"/>
      <c r="AL728" s="9"/>
      <c r="AM728" s="9"/>
      <c r="AN728" s="11"/>
      <c r="AO728" s="11"/>
      <c r="AP728" s="11"/>
      <c r="AQ728" s="11"/>
      <c r="AR728" s="11"/>
      <c r="AS728" s="11"/>
      <c r="AT728" s="11"/>
      <c r="AU728" s="11"/>
      <c r="AV728" s="11"/>
      <c r="AW728" s="11"/>
      <c r="AX728" s="11"/>
      <c r="AY728" s="11"/>
      <c r="AZ728" s="11"/>
    </row>
    <row r="729" ht="15.75" customHeight="1">
      <c r="A729" s="12"/>
      <c r="B729" s="13"/>
      <c r="C729" s="14"/>
      <c r="D729" s="15"/>
      <c r="E729" s="15"/>
      <c r="F729" s="15"/>
      <c r="G729" s="15"/>
      <c r="H729" s="15"/>
      <c r="I729" s="15"/>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8"/>
      <c r="AL729" s="9"/>
      <c r="AM729" s="9"/>
      <c r="AN729" s="11"/>
      <c r="AO729" s="11"/>
      <c r="AP729" s="11"/>
      <c r="AQ729" s="11"/>
      <c r="AR729" s="11"/>
      <c r="AS729" s="11"/>
      <c r="AT729" s="11"/>
      <c r="AU729" s="11"/>
      <c r="AV729" s="11"/>
      <c r="AW729" s="11"/>
      <c r="AX729" s="11"/>
      <c r="AY729" s="11"/>
      <c r="AZ729" s="11"/>
    </row>
    <row r="730" ht="15.75" customHeight="1">
      <c r="A730" s="12"/>
      <c r="B730" s="13"/>
      <c r="C730" s="14"/>
      <c r="D730" s="15"/>
      <c r="E730" s="15"/>
      <c r="F730" s="15"/>
      <c r="G730" s="15"/>
      <c r="H730" s="15"/>
      <c r="I730" s="15"/>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8"/>
      <c r="AL730" s="9"/>
      <c r="AM730" s="9"/>
      <c r="AN730" s="11"/>
      <c r="AO730" s="11"/>
      <c r="AP730" s="11"/>
      <c r="AQ730" s="11"/>
      <c r="AR730" s="11"/>
      <c r="AS730" s="11"/>
      <c r="AT730" s="11"/>
      <c r="AU730" s="11"/>
      <c r="AV730" s="11"/>
      <c r="AW730" s="11"/>
      <c r="AX730" s="11"/>
      <c r="AY730" s="11"/>
      <c r="AZ730" s="11"/>
    </row>
    <row r="731" ht="15.75" customHeight="1">
      <c r="A731" s="12"/>
      <c r="B731" s="13"/>
      <c r="C731" s="14"/>
      <c r="D731" s="15"/>
      <c r="E731" s="15"/>
      <c r="F731" s="15"/>
      <c r="G731" s="15"/>
      <c r="H731" s="15"/>
      <c r="I731" s="15"/>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8"/>
      <c r="AL731" s="9"/>
      <c r="AM731" s="9"/>
      <c r="AN731" s="11"/>
      <c r="AO731" s="11"/>
      <c r="AP731" s="11"/>
      <c r="AQ731" s="11"/>
      <c r="AR731" s="11"/>
      <c r="AS731" s="11"/>
      <c r="AT731" s="11"/>
      <c r="AU731" s="11"/>
      <c r="AV731" s="11"/>
      <c r="AW731" s="11"/>
      <c r="AX731" s="11"/>
      <c r="AY731" s="11"/>
      <c r="AZ731" s="11"/>
    </row>
    <row r="732" ht="15.75" customHeight="1">
      <c r="A732" s="12"/>
      <c r="B732" s="13"/>
      <c r="C732" s="14"/>
      <c r="D732" s="15"/>
      <c r="E732" s="15"/>
      <c r="F732" s="15"/>
      <c r="G732" s="15"/>
      <c r="H732" s="15"/>
      <c r="I732" s="15"/>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8"/>
      <c r="AL732" s="9"/>
      <c r="AM732" s="9"/>
      <c r="AN732" s="11"/>
      <c r="AO732" s="11"/>
      <c r="AP732" s="11"/>
      <c r="AQ732" s="11"/>
      <c r="AR732" s="11"/>
      <c r="AS732" s="11"/>
      <c r="AT732" s="11"/>
      <c r="AU732" s="11"/>
      <c r="AV732" s="11"/>
      <c r="AW732" s="11"/>
      <c r="AX732" s="11"/>
      <c r="AY732" s="11"/>
      <c r="AZ732" s="11"/>
    </row>
    <row r="733" ht="15.75" customHeight="1">
      <c r="A733" s="12"/>
      <c r="B733" s="13"/>
      <c r="C733" s="14"/>
      <c r="D733" s="15"/>
      <c r="E733" s="15"/>
      <c r="F733" s="15"/>
      <c r="G733" s="15"/>
      <c r="H733" s="15"/>
      <c r="I733" s="15"/>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8"/>
      <c r="AL733" s="9"/>
      <c r="AM733" s="9"/>
      <c r="AN733" s="11"/>
      <c r="AO733" s="11"/>
      <c r="AP733" s="11"/>
      <c r="AQ733" s="11"/>
      <c r="AR733" s="11"/>
      <c r="AS733" s="11"/>
      <c r="AT733" s="11"/>
      <c r="AU733" s="11"/>
      <c r="AV733" s="11"/>
      <c r="AW733" s="11"/>
      <c r="AX733" s="11"/>
      <c r="AY733" s="11"/>
      <c r="AZ733" s="11"/>
    </row>
    <row r="734" ht="15.75" customHeight="1">
      <c r="A734" s="12"/>
      <c r="B734" s="13"/>
      <c r="C734" s="14"/>
      <c r="D734" s="15"/>
      <c r="E734" s="15"/>
      <c r="F734" s="15"/>
      <c r="G734" s="15"/>
      <c r="H734" s="15"/>
      <c r="I734" s="15"/>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8"/>
      <c r="AL734" s="9"/>
      <c r="AM734" s="9"/>
      <c r="AN734" s="11"/>
      <c r="AO734" s="11"/>
      <c r="AP734" s="11"/>
      <c r="AQ734" s="11"/>
      <c r="AR734" s="11"/>
      <c r="AS734" s="11"/>
      <c r="AT734" s="11"/>
      <c r="AU734" s="11"/>
      <c r="AV734" s="11"/>
      <c r="AW734" s="11"/>
      <c r="AX734" s="11"/>
      <c r="AY734" s="11"/>
      <c r="AZ734" s="11"/>
    </row>
    <row r="735" ht="15.75" customHeight="1">
      <c r="A735" s="12"/>
      <c r="B735" s="13"/>
      <c r="C735" s="14"/>
      <c r="D735" s="15"/>
      <c r="E735" s="15"/>
      <c r="F735" s="15"/>
      <c r="G735" s="15"/>
      <c r="H735" s="15"/>
      <c r="I735" s="15"/>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8"/>
      <c r="AL735" s="9"/>
      <c r="AM735" s="9"/>
      <c r="AN735" s="11"/>
      <c r="AO735" s="11"/>
      <c r="AP735" s="11"/>
      <c r="AQ735" s="11"/>
      <c r="AR735" s="11"/>
      <c r="AS735" s="11"/>
      <c r="AT735" s="11"/>
      <c r="AU735" s="11"/>
      <c r="AV735" s="11"/>
      <c r="AW735" s="11"/>
      <c r="AX735" s="11"/>
      <c r="AY735" s="11"/>
      <c r="AZ735" s="11"/>
    </row>
    <row r="736" ht="15.75" customHeight="1">
      <c r="A736" s="12"/>
      <c r="B736" s="13"/>
      <c r="C736" s="14"/>
      <c r="D736" s="15"/>
      <c r="E736" s="15"/>
      <c r="F736" s="15"/>
      <c r="G736" s="15"/>
      <c r="H736" s="15"/>
      <c r="I736" s="15"/>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8"/>
      <c r="AL736" s="9"/>
      <c r="AM736" s="9"/>
      <c r="AN736" s="11"/>
      <c r="AO736" s="11"/>
      <c r="AP736" s="11"/>
      <c r="AQ736" s="11"/>
      <c r="AR736" s="11"/>
      <c r="AS736" s="11"/>
      <c r="AT736" s="11"/>
      <c r="AU736" s="11"/>
      <c r="AV736" s="11"/>
      <c r="AW736" s="11"/>
      <c r="AX736" s="11"/>
      <c r="AY736" s="11"/>
      <c r="AZ736" s="11"/>
    </row>
    <row r="737" ht="15.75" customHeight="1">
      <c r="A737" s="12"/>
      <c r="B737" s="13"/>
      <c r="C737" s="14"/>
      <c r="D737" s="15"/>
      <c r="E737" s="15"/>
      <c r="F737" s="15"/>
      <c r="G737" s="15"/>
      <c r="H737" s="15"/>
      <c r="I737" s="15"/>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8"/>
      <c r="AL737" s="9"/>
      <c r="AM737" s="9"/>
      <c r="AN737" s="11"/>
      <c r="AO737" s="11"/>
      <c r="AP737" s="11"/>
      <c r="AQ737" s="11"/>
      <c r="AR737" s="11"/>
      <c r="AS737" s="11"/>
      <c r="AT737" s="11"/>
      <c r="AU737" s="11"/>
      <c r="AV737" s="11"/>
      <c r="AW737" s="11"/>
      <c r="AX737" s="11"/>
      <c r="AY737" s="11"/>
      <c r="AZ737" s="11"/>
    </row>
    <row r="738" ht="15.75" customHeight="1">
      <c r="A738" s="12"/>
      <c r="B738" s="13"/>
      <c r="C738" s="14"/>
      <c r="D738" s="15"/>
      <c r="E738" s="15"/>
      <c r="F738" s="15"/>
      <c r="G738" s="15"/>
      <c r="H738" s="15"/>
      <c r="I738" s="15"/>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8"/>
      <c r="AL738" s="9"/>
      <c r="AM738" s="9"/>
      <c r="AN738" s="11"/>
      <c r="AO738" s="11"/>
      <c r="AP738" s="11"/>
      <c r="AQ738" s="11"/>
      <c r="AR738" s="11"/>
      <c r="AS738" s="11"/>
      <c r="AT738" s="11"/>
      <c r="AU738" s="11"/>
      <c r="AV738" s="11"/>
      <c r="AW738" s="11"/>
      <c r="AX738" s="11"/>
      <c r="AY738" s="11"/>
      <c r="AZ738" s="11"/>
    </row>
    <row r="739" ht="15.75" customHeight="1">
      <c r="A739" s="12"/>
      <c r="B739" s="13"/>
      <c r="C739" s="14"/>
      <c r="D739" s="15"/>
      <c r="E739" s="15"/>
      <c r="F739" s="15"/>
      <c r="G739" s="15"/>
      <c r="H739" s="15"/>
      <c r="I739" s="15"/>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8"/>
      <c r="AL739" s="9"/>
      <c r="AM739" s="9"/>
      <c r="AN739" s="11"/>
      <c r="AO739" s="11"/>
      <c r="AP739" s="11"/>
      <c r="AQ739" s="11"/>
      <c r="AR739" s="11"/>
      <c r="AS739" s="11"/>
      <c r="AT739" s="11"/>
      <c r="AU739" s="11"/>
      <c r="AV739" s="11"/>
      <c r="AW739" s="11"/>
      <c r="AX739" s="11"/>
      <c r="AY739" s="11"/>
      <c r="AZ739" s="11"/>
    </row>
    <row r="740" ht="15.75" customHeight="1">
      <c r="A740" s="12"/>
      <c r="B740" s="13"/>
      <c r="C740" s="14"/>
      <c r="D740" s="15"/>
      <c r="E740" s="15"/>
      <c r="F740" s="15"/>
      <c r="G740" s="15"/>
      <c r="H740" s="15"/>
      <c r="I740" s="15"/>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8"/>
      <c r="AL740" s="9"/>
      <c r="AM740" s="9"/>
      <c r="AN740" s="11"/>
      <c r="AO740" s="11"/>
      <c r="AP740" s="11"/>
      <c r="AQ740" s="11"/>
      <c r="AR740" s="11"/>
      <c r="AS740" s="11"/>
      <c r="AT740" s="11"/>
      <c r="AU740" s="11"/>
      <c r="AV740" s="11"/>
      <c r="AW740" s="11"/>
      <c r="AX740" s="11"/>
      <c r="AY740" s="11"/>
      <c r="AZ740" s="11"/>
    </row>
    <row r="741" ht="15.75" customHeight="1">
      <c r="A741" s="12"/>
      <c r="B741" s="13"/>
      <c r="C741" s="14"/>
      <c r="D741" s="15"/>
      <c r="E741" s="15"/>
      <c r="F741" s="15"/>
      <c r="G741" s="15"/>
      <c r="H741" s="15"/>
      <c r="I741" s="15"/>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8"/>
      <c r="AL741" s="9"/>
      <c r="AM741" s="9"/>
      <c r="AN741" s="11"/>
      <c r="AO741" s="11"/>
      <c r="AP741" s="11"/>
      <c r="AQ741" s="11"/>
      <c r="AR741" s="11"/>
      <c r="AS741" s="11"/>
      <c r="AT741" s="11"/>
      <c r="AU741" s="11"/>
      <c r="AV741" s="11"/>
      <c r="AW741" s="11"/>
      <c r="AX741" s="11"/>
      <c r="AY741" s="11"/>
      <c r="AZ741" s="11"/>
    </row>
    <row r="742" ht="15.75" customHeight="1">
      <c r="A742" s="12"/>
      <c r="B742" s="13"/>
      <c r="C742" s="14"/>
      <c r="D742" s="15"/>
      <c r="E742" s="15"/>
      <c r="F742" s="15"/>
      <c r="G742" s="15"/>
      <c r="H742" s="15"/>
      <c r="I742" s="15"/>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8"/>
      <c r="AL742" s="9"/>
      <c r="AM742" s="9"/>
      <c r="AN742" s="11"/>
      <c r="AO742" s="11"/>
      <c r="AP742" s="11"/>
      <c r="AQ742" s="11"/>
      <c r="AR742" s="11"/>
      <c r="AS742" s="11"/>
      <c r="AT742" s="11"/>
      <c r="AU742" s="11"/>
      <c r="AV742" s="11"/>
      <c r="AW742" s="11"/>
      <c r="AX742" s="11"/>
      <c r="AY742" s="11"/>
      <c r="AZ742" s="11"/>
    </row>
    <row r="743" ht="15.75" customHeight="1">
      <c r="A743" s="12"/>
      <c r="B743" s="13"/>
      <c r="C743" s="14"/>
      <c r="D743" s="15"/>
      <c r="E743" s="15"/>
      <c r="F743" s="15"/>
      <c r="G743" s="15"/>
      <c r="H743" s="15"/>
      <c r="I743" s="15"/>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8"/>
      <c r="AL743" s="9"/>
      <c r="AM743" s="9"/>
      <c r="AN743" s="11"/>
      <c r="AO743" s="11"/>
      <c r="AP743" s="11"/>
      <c r="AQ743" s="11"/>
      <c r="AR743" s="11"/>
      <c r="AS743" s="11"/>
      <c r="AT743" s="11"/>
      <c r="AU743" s="11"/>
      <c r="AV743" s="11"/>
      <c r="AW743" s="11"/>
      <c r="AX743" s="11"/>
      <c r="AY743" s="11"/>
      <c r="AZ743" s="11"/>
    </row>
    <row r="744" ht="15.75" customHeight="1">
      <c r="A744" s="12"/>
      <c r="B744" s="13"/>
      <c r="C744" s="14"/>
      <c r="D744" s="15"/>
      <c r="E744" s="15"/>
      <c r="F744" s="15"/>
      <c r="G744" s="15"/>
      <c r="H744" s="15"/>
      <c r="I744" s="15"/>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8"/>
      <c r="AL744" s="9"/>
      <c r="AM744" s="9"/>
      <c r="AN744" s="11"/>
      <c r="AO744" s="11"/>
      <c r="AP744" s="11"/>
      <c r="AQ744" s="11"/>
      <c r="AR744" s="11"/>
      <c r="AS744" s="11"/>
      <c r="AT744" s="11"/>
      <c r="AU744" s="11"/>
      <c r="AV744" s="11"/>
      <c r="AW744" s="11"/>
      <c r="AX744" s="11"/>
      <c r="AY744" s="11"/>
      <c r="AZ744" s="11"/>
    </row>
    <row r="745" ht="15.75" customHeight="1">
      <c r="A745" s="12"/>
      <c r="B745" s="13"/>
      <c r="C745" s="14"/>
      <c r="D745" s="15"/>
      <c r="E745" s="15"/>
      <c r="F745" s="15"/>
      <c r="G745" s="15"/>
      <c r="H745" s="15"/>
      <c r="I745" s="15"/>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8"/>
      <c r="AL745" s="9"/>
      <c r="AM745" s="9"/>
      <c r="AN745" s="11"/>
      <c r="AO745" s="11"/>
      <c r="AP745" s="11"/>
      <c r="AQ745" s="11"/>
      <c r="AR745" s="11"/>
      <c r="AS745" s="11"/>
      <c r="AT745" s="11"/>
      <c r="AU745" s="11"/>
      <c r="AV745" s="11"/>
      <c r="AW745" s="11"/>
      <c r="AX745" s="11"/>
      <c r="AY745" s="11"/>
      <c r="AZ745" s="11"/>
    </row>
    <row r="746" ht="15.75" customHeight="1">
      <c r="A746" s="12"/>
      <c r="B746" s="13"/>
      <c r="C746" s="14"/>
      <c r="D746" s="15"/>
      <c r="E746" s="15"/>
      <c r="F746" s="15"/>
      <c r="G746" s="15"/>
      <c r="H746" s="15"/>
      <c r="I746" s="15"/>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8"/>
      <c r="AL746" s="9"/>
      <c r="AM746" s="9"/>
      <c r="AN746" s="11"/>
      <c r="AO746" s="11"/>
      <c r="AP746" s="11"/>
      <c r="AQ746" s="11"/>
      <c r="AR746" s="11"/>
      <c r="AS746" s="11"/>
      <c r="AT746" s="11"/>
      <c r="AU746" s="11"/>
      <c r="AV746" s="11"/>
      <c r="AW746" s="11"/>
      <c r="AX746" s="11"/>
      <c r="AY746" s="11"/>
      <c r="AZ746" s="11"/>
    </row>
    <row r="747" ht="15.75" customHeight="1">
      <c r="A747" s="12"/>
      <c r="B747" s="13"/>
      <c r="C747" s="14"/>
      <c r="D747" s="15"/>
      <c r="E747" s="15"/>
      <c r="F747" s="15"/>
      <c r="G747" s="15"/>
      <c r="H747" s="15"/>
      <c r="I747" s="15"/>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8"/>
      <c r="AL747" s="9"/>
      <c r="AM747" s="9"/>
      <c r="AN747" s="11"/>
      <c r="AO747" s="11"/>
      <c r="AP747" s="11"/>
      <c r="AQ747" s="11"/>
      <c r="AR747" s="11"/>
      <c r="AS747" s="11"/>
      <c r="AT747" s="11"/>
      <c r="AU747" s="11"/>
      <c r="AV747" s="11"/>
      <c r="AW747" s="11"/>
      <c r="AX747" s="11"/>
      <c r="AY747" s="11"/>
      <c r="AZ747" s="11"/>
    </row>
    <row r="748" ht="15.75" customHeight="1">
      <c r="A748" s="12"/>
      <c r="B748" s="13"/>
      <c r="C748" s="14"/>
      <c r="D748" s="15"/>
      <c r="E748" s="15"/>
      <c r="F748" s="15"/>
      <c r="G748" s="15"/>
      <c r="H748" s="15"/>
      <c r="I748" s="15"/>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8"/>
      <c r="AL748" s="9"/>
      <c r="AM748" s="9"/>
      <c r="AN748" s="11"/>
      <c r="AO748" s="11"/>
      <c r="AP748" s="11"/>
      <c r="AQ748" s="11"/>
      <c r="AR748" s="11"/>
      <c r="AS748" s="11"/>
      <c r="AT748" s="11"/>
      <c r="AU748" s="11"/>
      <c r="AV748" s="11"/>
      <c r="AW748" s="11"/>
      <c r="AX748" s="11"/>
      <c r="AY748" s="11"/>
      <c r="AZ748" s="11"/>
    </row>
    <row r="749" ht="15.75" customHeight="1">
      <c r="A749" s="12"/>
      <c r="B749" s="13"/>
      <c r="C749" s="14"/>
      <c r="D749" s="15"/>
      <c r="E749" s="15"/>
      <c r="F749" s="15"/>
      <c r="G749" s="15"/>
      <c r="H749" s="15"/>
      <c r="I749" s="15"/>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8"/>
      <c r="AL749" s="9"/>
      <c r="AM749" s="9"/>
      <c r="AN749" s="11"/>
      <c r="AO749" s="11"/>
      <c r="AP749" s="11"/>
      <c r="AQ749" s="11"/>
      <c r="AR749" s="11"/>
      <c r="AS749" s="11"/>
      <c r="AT749" s="11"/>
      <c r="AU749" s="11"/>
      <c r="AV749" s="11"/>
      <c r="AW749" s="11"/>
      <c r="AX749" s="11"/>
      <c r="AY749" s="11"/>
      <c r="AZ749" s="11"/>
    </row>
    <row r="750" ht="15.75" customHeight="1">
      <c r="A750" s="12"/>
      <c r="B750" s="13"/>
      <c r="C750" s="14"/>
      <c r="D750" s="15"/>
      <c r="E750" s="15"/>
      <c r="F750" s="15"/>
      <c r="G750" s="15"/>
      <c r="H750" s="15"/>
      <c r="I750" s="15"/>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8"/>
      <c r="AL750" s="9"/>
      <c r="AM750" s="9"/>
      <c r="AN750" s="11"/>
      <c r="AO750" s="11"/>
      <c r="AP750" s="11"/>
      <c r="AQ750" s="11"/>
      <c r="AR750" s="11"/>
      <c r="AS750" s="11"/>
      <c r="AT750" s="11"/>
      <c r="AU750" s="11"/>
      <c r="AV750" s="11"/>
      <c r="AW750" s="11"/>
      <c r="AX750" s="11"/>
      <c r="AY750" s="11"/>
      <c r="AZ750" s="11"/>
    </row>
    <row r="751" ht="15.75" customHeight="1">
      <c r="A751" s="12"/>
      <c r="B751" s="13"/>
      <c r="C751" s="14"/>
      <c r="D751" s="15"/>
      <c r="E751" s="15"/>
      <c r="F751" s="15"/>
      <c r="G751" s="15"/>
      <c r="H751" s="15"/>
      <c r="I751" s="15"/>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8"/>
      <c r="AL751" s="9"/>
      <c r="AM751" s="9"/>
      <c r="AN751" s="11"/>
      <c r="AO751" s="11"/>
      <c r="AP751" s="11"/>
      <c r="AQ751" s="11"/>
      <c r="AR751" s="11"/>
      <c r="AS751" s="11"/>
      <c r="AT751" s="11"/>
      <c r="AU751" s="11"/>
      <c r="AV751" s="11"/>
      <c r="AW751" s="11"/>
      <c r="AX751" s="11"/>
      <c r="AY751" s="11"/>
      <c r="AZ751" s="11"/>
    </row>
    <row r="752" ht="15.75" customHeight="1">
      <c r="A752" s="12"/>
      <c r="B752" s="13"/>
      <c r="C752" s="14"/>
      <c r="D752" s="15"/>
      <c r="E752" s="15"/>
      <c r="F752" s="15"/>
      <c r="G752" s="15"/>
      <c r="H752" s="15"/>
      <c r="I752" s="15"/>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8"/>
      <c r="AL752" s="9"/>
      <c r="AM752" s="9"/>
      <c r="AN752" s="11"/>
      <c r="AO752" s="11"/>
      <c r="AP752" s="11"/>
      <c r="AQ752" s="11"/>
      <c r="AR752" s="11"/>
      <c r="AS752" s="11"/>
      <c r="AT752" s="11"/>
      <c r="AU752" s="11"/>
      <c r="AV752" s="11"/>
      <c r="AW752" s="11"/>
      <c r="AX752" s="11"/>
      <c r="AY752" s="11"/>
      <c r="AZ752" s="11"/>
    </row>
    <row r="753" ht="15.75" customHeight="1">
      <c r="A753" s="12"/>
      <c r="B753" s="13"/>
      <c r="C753" s="14"/>
      <c r="D753" s="15"/>
      <c r="E753" s="15"/>
      <c r="F753" s="15"/>
      <c r="G753" s="15"/>
      <c r="H753" s="15"/>
      <c r="I753" s="15"/>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8"/>
      <c r="AL753" s="9"/>
      <c r="AM753" s="9"/>
      <c r="AN753" s="11"/>
      <c r="AO753" s="11"/>
      <c r="AP753" s="11"/>
      <c r="AQ753" s="11"/>
      <c r="AR753" s="11"/>
      <c r="AS753" s="11"/>
      <c r="AT753" s="11"/>
      <c r="AU753" s="11"/>
      <c r="AV753" s="11"/>
      <c r="AW753" s="11"/>
      <c r="AX753" s="11"/>
      <c r="AY753" s="11"/>
      <c r="AZ753" s="11"/>
    </row>
    <row r="754" ht="15.75" customHeight="1">
      <c r="A754" s="12"/>
      <c r="B754" s="13"/>
      <c r="C754" s="14"/>
      <c r="D754" s="15"/>
      <c r="E754" s="15"/>
      <c r="F754" s="15"/>
      <c r="G754" s="15"/>
      <c r="H754" s="15"/>
      <c r="I754" s="15"/>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8"/>
      <c r="AL754" s="9"/>
      <c r="AM754" s="9"/>
      <c r="AN754" s="11"/>
      <c r="AO754" s="11"/>
      <c r="AP754" s="11"/>
      <c r="AQ754" s="11"/>
      <c r="AR754" s="11"/>
      <c r="AS754" s="11"/>
      <c r="AT754" s="11"/>
      <c r="AU754" s="11"/>
      <c r="AV754" s="11"/>
      <c r="AW754" s="11"/>
      <c r="AX754" s="11"/>
      <c r="AY754" s="11"/>
      <c r="AZ754" s="11"/>
    </row>
    <row r="755" ht="15.75" customHeight="1">
      <c r="A755" s="12"/>
      <c r="B755" s="13"/>
      <c r="C755" s="14"/>
      <c r="D755" s="15"/>
      <c r="E755" s="15"/>
      <c r="F755" s="15"/>
      <c r="G755" s="15"/>
      <c r="H755" s="15"/>
      <c r="I755" s="15"/>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8"/>
      <c r="AL755" s="9"/>
      <c r="AM755" s="9"/>
      <c r="AN755" s="11"/>
      <c r="AO755" s="11"/>
      <c r="AP755" s="11"/>
      <c r="AQ755" s="11"/>
      <c r="AR755" s="11"/>
      <c r="AS755" s="11"/>
      <c r="AT755" s="11"/>
      <c r="AU755" s="11"/>
      <c r="AV755" s="11"/>
      <c r="AW755" s="11"/>
      <c r="AX755" s="11"/>
      <c r="AY755" s="11"/>
      <c r="AZ755" s="11"/>
    </row>
    <row r="756" ht="15.75" customHeight="1">
      <c r="A756" s="12"/>
      <c r="B756" s="13"/>
      <c r="C756" s="14"/>
      <c r="D756" s="15"/>
      <c r="E756" s="15"/>
      <c r="F756" s="15"/>
      <c r="G756" s="15"/>
      <c r="H756" s="15"/>
      <c r="I756" s="15"/>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8"/>
      <c r="AL756" s="9"/>
      <c r="AM756" s="9"/>
      <c r="AN756" s="11"/>
      <c r="AO756" s="11"/>
      <c r="AP756" s="11"/>
      <c r="AQ756" s="11"/>
      <c r="AR756" s="11"/>
      <c r="AS756" s="11"/>
      <c r="AT756" s="11"/>
      <c r="AU756" s="11"/>
      <c r="AV756" s="11"/>
      <c r="AW756" s="11"/>
      <c r="AX756" s="11"/>
      <c r="AY756" s="11"/>
      <c r="AZ756" s="11"/>
    </row>
    <row r="757" ht="15.75" customHeight="1">
      <c r="A757" s="12"/>
      <c r="B757" s="13"/>
      <c r="C757" s="14"/>
      <c r="D757" s="15"/>
      <c r="E757" s="15"/>
      <c r="F757" s="15"/>
      <c r="G757" s="15"/>
      <c r="H757" s="15"/>
      <c r="I757" s="15"/>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8"/>
      <c r="AL757" s="9"/>
      <c r="AM757" s="9"/>
      <c r="AN757" s="11"/>
      <c r="AO757" s="11"/>
      <c r="AP757" s="11"/>
      <c r="AQ757" s="11"/>
      <c r="AR757" s="11"/>
      <c r="AS757" s="11"/>
      <c r="AT757" s="11"/>
      <c r="AU757" s="11"/>
      <c r="AV757" s="11"/>
      <c r="AW757" s="11"/>
      <c r="AX757" s="11"/>
      <c r="AY757" s="11"/>
      <c r="AZ757" s="11"/>
    </row>
    <row r="758" ht="15.75" customHeight="1">
      <c r="A758" s="12"/>
      <c r="B758" s="13"/>
      <c r="C758" s="14"/>
      <c r="D758" s="15"/>
      <c r="E758" s="15"/>
      <c r="F758" s="15"/>
      <c r="G758" s="15"/>
      <c r="H758" s="15"/>
      <c r="I758" s="15"/>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8"/>
      <c r="AL758" s="9"/>
      <c r="AM758" s="9"/>
      <c r="AN758" s="11"/>
      <c r="AO758" s="11"/>
      <c r="AP758" s="11"/>
      <c r="AQ758" s="11"/>
      <c r="AR758" s="11"/>
      <c r="AS758" s="11"/>
      <c r="AT758" s="11"/>
      <c r="AU758" s="11"/>
      <c r="AV758" s="11"/>
      <c r="AW758" s="11"/>
      <c r="AX758" s="11"/>
      <c r="AY758" s="11"/>
      <c r="AZ758" s="11"/>
    </row>
    <row r="759" ht="15.75" customHeight="1">
      <c r="A759" s="12"/>
      <c r="B759" s="13"/>
      <c r="C759" s="14"/>
      <c r="D759" s="15"/>
      <c r="E759" s="15"/>
      <c r="F759" s="15"/>
      <c r="G759" s="15"/>
      <c r="H759" s="15"/>
      <c r="I759" s="15"/>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8"/>
      <c r="AL759" s="9"/>
      <c r="AM759" s="9"/>
      <c r="AN759" s="11"/>
      <c r="AO759" s="11"/>
      <c r="AP759" s="11"/>
      <c r="AQ759" s="11"/>
      <c r="AR759" s="11"/>
      <c r="AS759" s="11"/>
      <c r="AT759" s="11"/>
      <c r="AU759" s="11"/>
      <c r="AV759" s="11"/>
      <c r="AW759" s="11"/>
      <c r="AX759" s="11"/>
      <c r="AY759" s="11"/>
      <c r="AZ759" s="11"/>
    </row>
    <row r="760" ht="15.75" customHeight="1">
      <c r="A760" s="12"/>
      <c r="B760" s="13"/>
      <c r="C760" s="14"/>
      <c r="D760" s="15"/>
      <c r="E760" s="15"/>
      <c r="F760" s="15"/>
      <c r="G760" s="15"/>
      <c r="H760" s="15"/>
      <c r="I760" s="15"/>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8"/>
      <c r="AL760" s="9"/>
      <c r="AM760" s="9"/>
      <c r="AN760" s="11"/>
      <c r="AO760" s="11"/>
      <c r="AP760" s="11"/>
      <c r="AQ760" s="11"/>
      <c r="AR760" s="11"/>
      <c r="AS760" s="11"/>
      <c r="AT760" s="11"/>
      <c r="AU760" s="11"/>
      <c r="AV760" s="11"/>
      <c r="AW760" s="11"/>
      <c r="AX760" s="11"/>
      <c r="AY760" s="11"/>
      <c r="AZ760" s="11"/>
    </row>
    <row r="761" ht="15.75" customHeight="1">
      <c r="A761" s="12"/>
      <c r="B761" s="13"/>
      <c r="C761" s="14"/>
      <c r="D761" s="15"/>
      <c r="E761" s="15"/>
      <c r="F761" s="15"/>
      <c r="G761" s="15"/>
      <c r="H761" s="15"/>
      <c r="I761" s="15"/>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8"/>
      <c r="AL761" s="9"/>
      <c r="AM761" s="9"/>
      <c r="AN761" s="11"/>
      <c r="AO761" s="11"/>
      <c r="AP761" s="11"/>
      <c r="AQ761" s="11"/>
      <c r="AR761" s="11"/>
      <c r="AS761" s="11"/>
      <c r="AT761" s="11"/>
      <c r="AU761" s="11"/>
      <c r="AV761" s="11"/>
      <c r="AW761" s="11"/>
      <c r="AX761" s="11"/>
      <c r="AY761" s="11"/>
      <c r="AZ761" s="11"/>
    </row>
    <row r="762" ht="15.75" customHeight="1">
      <c r="A762" s="12"/>
      <c r="B762" s="13"/>
      <c r="C762" s="14"/>
      <c r="D762" s="15"/>
      <c r="E762" s="15"/>
      <c r="F762" s="15"/>
      <c r="G762" s="15"/>
      <c r="H762" s="15"/>
      <c r="I762" s="15"/>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8"/>
      <c r="AL762" s="9"/>
      <c r="AM762" s="9"/>
      <c r="AN762" s="11"/>
      <c r="AO762" s="11"/>
      <c r="AP762" s="11"/>
      <c r="AQ762" s="11"/>
      <c r="AR762" s="11"/>
      <c r="AS762" s="11"/>
      <c r="AT762" s="11"/>
      <c r="AU762" s="11"/>
      <c r="AV762" s="11"/>
      <c r="AW762" s="11"/>
      <c r="AX762" s="11"/>
      <c r="AY762" s="11"/>
      <c r="AZ762" s="11"/>
    </row>
    <row r="763" ht="15.75" customHeight="1">
      <c r="A763" s="12"/>
      <c r="B763" s="13"/>
      <c r="C763" s="14"/>
      <c r="D763" s="15"/>
      <c r="E763" s="15"/>
      <c r="F763" s="15"/>
      <c r="G763" s="15"/>
      <c r="H763" s="15"/>
      <c r="I763" s="15"/>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8"/>
      <c r="AL763" s="9"/>
      <c r="AM763" s="9"/>
      <c r="AN763" s="11"/>
      <c r="AO763" s="11"/>
      <c r="AP763" s="11"/>
      <c r="AQ763" s="11"/>
      <c r="AR763" s="11"/>
      <c r="AS763" s="11"/>
      <c r="AT763" s="11"/>
      <c r="AU763" s="11"/>
      <c r="AV763" s="11"/>
      <c r="AW763" s="11"/>
      <c r="AX763" s="11"/>
      <c r="AY763" s="11"/>
      <c r="AZ763" s="11"/>
    </row>
    <row r="764" ht="15.75" customHeight="1">
      <c r="A764" s="12"/>
      <c r="B764" s="13"/>
      <c r="C764" s="14"/>
      <c r="D764" s="15"/>
      <c r="E764" s="15"/>
      <c r="F764" s="15"/>
      <c r="G764" s="15"/>
      <c r="H764" s="15"/>
      <c r="I764" s="15"/>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8"/>
      <c r="AL764" s="9"/>
      <c r="AM764" s="9"/>
      <c r="AN764" s="11"/>
      <c r="AO764" s="11"/>
      <c r="AP764" s="11"/>
      <c r="AQ764" s="11"/>
      <c r="AR764" s="11"/>
      <c r="AS764" s="11"/>
      <c r="AT764" s="11"/>
      <c r="AU764" s="11"/>
      <c r="AV764" s="11"/>
      <c r="AW764" s="11"/>
      <c r="AX764" s="11"/>
      <c r="AY764" s="11"/>
      <c r="AZ764" s="11"/>
    </row>
    <row r="765" ht="15.75" customHeight="1">
      <c r="A765" s="12"/>
      <c r="B765" s="13"/>
      <c r="C765" s="14"/>
      <c r="D765" s="15"/>
      <c r="E765" s="15"/>
      <c r="F765" s="15"/>
      <c r="G765" s="15"/>
      <c r="H765" s="15"/>
      <c r="I765" s="15"/>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8"/>
      <c r="AL765" s="9"/>
      <c r="AM765" s="9"/>
      <c r="AN765" s="11"/>
      <c r="AO765" s="11"/>
      <c r="AP765" s="11"/>
      <c r="AQ765" s="11"/>
      <c r="AR765" s="11"/>
      <c r="AS765" s="11"/>
      <c r="AT765" s="11"/>
      <c r="AU765" s="11"/>
      <c r="AV765" s="11"/>
      <c r="AW765" s="11"/>
      <c r="AX765" s="11"/>
      <c r="AY765" s="11"/>
      <c r="AZ765" s="11"/>
    </row>
    <row r="766" ht="15.75" customHeight="1">
      <c r="A766" s="12"/>
      <c r="B766" s="13"/>
      <c r="C766" s="14"/>
      <c r="D766" s="15"/>
      <c r="E766" s="15"/>
      <c r="F766" s="15"/>
      <c r="G766" s="15"/>
      <c r="H766" s="15"/>
      <c r="I766" s="15"/>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8"/>
      <c r="AL766" s="9"/>
      <c r="AM766" s="9"/>
      <c r="AN766" s="11"/>
      <c r="AO766" s="11"/>
      <c r="AP766" s="11"/>
      <c r="AQ766" s="11"/>
      <c r="AR766" s="11"/>
      <c r="AS766" s="11"/>
      <c r="AT766" s="11"/>
      <c r="AU766" s="11"/>
      <c r="AV766" s="11"/>
      <c r="AW766" s="11"/>
      <c r="AX766" s="11"/>
      <c r="AY766" s="11"/>
      <c r="AZ766" s="11"/>
    </row>
    <row r="767" ht="15.75" customHeight="1">
      <c r="A767" s="12"/>
      <c r="B767" s="13"/>
      <c r="C767" s="14"/>
      <c r="D767" s="15"/>
      <c r="E767" s="15"/>
      <c r="F767" s="15"/>
      <c r="G767" s="15"/>
      <c r="H767" s="15"/>
      <c r="I767" s="15"/>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8"/>
      <c r="AL767" s="9"/>
      <c r="AM767" s="9"/>
      <c r="AN767" s="11"/>
      <c r="AO767" s="11"/>
      <c r="AP767" s="11"/>
      <c r="AQ767" s="11"/>
      <c r="AR767" s="11"/>
      <c r="AS767" s="11"/>
      <c r="AT767" s="11"/>
      <c r="AU767" s="11"/>
      <c r="AV767" s="11"/>
      <c r="AW767" s="11"/>
      <c r="AX767" s="11"/>
      <c r="AY767" s="11"/>
      <c r="AZ767" s="11"/>
    </row>
    <row r="768" ht="15.75" customHeight="1">
      <c r="A768" s="12"/>
      <c r="B768" s="13"/>
      <c r="C768" s="14"/>
      <c r="D768" s="15"/>
      <c r="E768" s="15"/>
      <c r="F768" s="15"/>
      <c r="G768" s="15"/>
      <c r="H768" s="15"/>
      <c r="I768" s="15"/>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8"/>
      <c r="AL768" s="9"/>
      <c r="AM768" s="9"/>
      <c r="AN768" s="11"/>
      <c r="AO768" s="11"/>
      <c r="AP768" s="11"/>
      <c r="AQ768" s="11"/>
      <c r="AR768" s="11"/>
      <c r="AS768" s="11"/>
      <c r="AT768" s="11"/>
      <c r="AU768" s="11"/>
      <c r="AV768" s="11"/>
      <c r="AW768" s="11"/>
      <c r="AX768" s="11"/>
      <c r="AY768" s="11"/>
      <c r="AZ768" s="11"/>
    </row>
    <row r="769" ht="15.75" customHeight="1">
      <c r="A769" s="12"/>
      <c r="B769" s="13"/>
      <c r="C769" s="14"/>
      <c r="D769" s="15"/>
      <c r="E769" s="15"/>
      <c r="F769" s="15"/>
      <c r="G769" s="15"/>
      <c r="H769" s="15"/>
      <c r="I769" s="15"/>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8"/>
      <c r="AL769" s="9"/>
      <c r="AM769" s="9"/>
      <c r="AN769" s="11"/>
      <c r="AO769" s="11"/>
      <c r="AP769" s="11"/>
      <c r="AQ769" s="11"/>
      <c r="AR769" s="11"/>
      <c r="AS769" s="11"/>
      <c r="AT769" s="11"/>
      <c r="AU769" s="11"/>
      <c r="AV769" s="11"/>
      <c r="AW769" s="11"/>
      <c r="AX769" s="11"/>
      <c r="AY769" s="11"/>
      <c r="AZ769" s="11"/>
    </row>
    <row r="770" ht="15.75" customHeight="1">
      <c r="A770" s="12"/>
      <c r="B770" s="13"/>
      <c r="C770" s="14"/>
      <c r="D770" s="15"/>
      <c r="E770" s="15"/>
      <c r="F770" s="15"/>
      <c r="G770" s="15"/>
      <c r="H770" s="15"/>
      <c r="I770" s="15"/>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8"/>
      <c r="AL770" s="9"/>
      <c r="AM770" s="9"/>
      <c r="AN770" s="11"/>
      <c r="AO770" s="11"/>
      <c r="AP770" s="11"/>
      <c r="AQ770" s="11"/>
      <c r="AR770" s="11"/>
      <c r="AS770" s="11"/>
      <c r="AT770" s="11"/>
      <c r="AU770" s="11"/>
      <c r="AV770" s="11"/>
      <c r="AW770" s="11"/>
      <c r="AX770" s="11"/>
      <c r="AY770" s="11"/>
      <c r="AZ770" s="11"/>
    </row>
    <row r="771" ht="15.75" customHeight="1">
      <c r="A771" s="12"/>
      <c r="B771" s="13"/>
      <c r="C771" s="14"/>
      <c r="D771" s="15"/>
      <c r="E771" s="15"/>
      <c r="F771" s="15"/>
      <c r="G771" s="15"/>
      <c r="H771" s="15"/>
      <c r="I771" s="15"/>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8"/>
      <c r="AL771" s="9"/>
      <c r="AM771" s="9"/>
      <c r="AN771" s="11"/>
      <c r="AO771" s="11"/>
      <c r="AP771" s="11"/>
      <c r="AQ771" s="11"/>
      <c r="AR771" s="11"/>
      <c r="AS771" s="11"/>
      <c r="AT771" s="11"/>
      <c r="AU771" s="11"/>
      <c r="AV771" s="11"/>
      <c r="AW771" s="11"/>
      <c r="AX771" s="11"/>
      <c r="AY771" s="11"/>
      <c r="AZ771" s="11"/>
    </row>
    <row r="772" ht="15.75" customHeight="1">
      <c r="A772" s="12"/>
      <c r="B772" s="13"/>
      <c r="C772" s="14"/>
      <c r="D772" s="15"/>
      <c r="E772" s="15"/>
      <c r="F772" s="15"/>
      <c r="G772" s="15"/>
      <c r="H772" s="15"/>
      <c r="I772" s="15"/>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8"/>
      <c r="AL772" s="9"/>
      <c r="AM772" s="9"/>
      <c r="AN772" s="11"/>
      <c r="AO772" s="11"/>
      <c r="AP772" s="11"/>
      <c r="AQ772" s="11"/>
      <c r="AR772" s="11"/>
      <c r="AS772" s="11"/>
      <c r="AT772" s="11"/>
      <c r="AU772" s="11"/>
      <c r="AV772" s="11"/>
      <c r="AW772" s="11"/>
      <c r="AX772" s="11"/>
      <c r="AY772" s="11"/>
      <c r="AZ772" s="11"/>
    </row>
    <row r="773" ht="15.75" customHeight="1">
      <c r="A773" s="12"/>
      <c r="B773" s="13"/>
      <c r="C773" s="14"/>
      <c r="D773" s="15"/>
      <c r="E773" s="15"/>
      <c r="F773" s="15"/>
      <c r="G773" s="15"/>
      <c r="H773" s="15"/>
      <c r="I773" s="15"/>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8"/>
      <c r="AL773" s="9"/>
      <c r="AM773" s="9"/>
      <c r="AN773" s="11"/>
      <c r="AO773" s="11"/>
      <c r="AP773" s="11"/>
      <c r="AQ773" s="11"/>
      <c r="AR773" s="11"/>
      <c r="AS773" s="11"/>
      <c r="AT773" s="11"/>
      <c r="AU773" s="11"/>
      <c r="AV773" s="11"/>
      <c r="AW773" s="11"/>
      <c r="AX773" s="11"/>
      <c r="AY773" s="11"/>
      <c r="AZ773" s="11"/>
    </row>
    <row r="774" ht="15.75" customHeight="1">
      <c r="A774" s="12"/>
      <c r="B774" s="13"/>
      <c r="C774" s="14"/>
      <c r="D774" s="15"/>
      <c r="E774" s="15"/>
      <c r="F774" s="15"/>
      <c r="G774" s="15"/>
      <c r="H774" s="15"/>
      <c r="I774" s="15"/>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8"/>
      <c r="AL774" s="9"/>
      <c r="AM774" s="9"/>
      <c r="AN774" s="11"/>
      <c r="AO774" s="11"/>
      <c r="AP774" s="11"/>
      <c r="AQ774" s="11"/>
      <c r="AR774" s="11"/>
      <c r="AS774" s="11"/>
      <c r="AT774" s="11"/>
      <c r="AU774" s="11"/>
      <c r="AV774" s="11"/>
      <c r="AW774" s="11"/>
      <c r="AX774" s="11"/>
      <c r="AY774" s="11"/>
      <c r="AZ774" s="11"/>
    </row>
    <row r="775" ht="15.75" customHeight="1">
      <c r="A775" s="12"/>
      <c r="B775" s="13"/>
      <c r="C775" s="14"/>
      <c r="D775" s="15"/>
      <c r="E775" s="15"/>
      <c r="F775" s="15"/>
      <c r="G775" s="15"/>
      <c r="H775" s="15"/>
      <c r="I775" s="15"/>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8"/>
      <c r="AL775" s="9"/>
      <c r="AM775" s="9"/>
      <c r="AN775" s="11"/>
      <c r="AO775" s="11"/>
      <c r="AP775" s="11"/>
      <c r="AQ775" s="11"/>
      <c r="AR775" s="11"/>
      <c r="AS775" s="11"/>
      <c r="AT775" s="11"/>
      <c r="AU775" s="11"/>
      <c r="AV775" s="11"/>
      <c r="AW775" s="11"/>
      <c r="AX775" s="11"/>
      <c r="AY775" s="11"/>
      <c r="AZ775" s="11"/>
    </row>
    <row r="776" ht="15.75" customHeight="1">
      <c r="A776" s="12"/>
      <c r="B776" s="13"/>
      <c r="C776" s="14"/>
      <c r="D776" s="15"/>
      <c r="E776" s="15"/>
      <c r="F776" s="15"/>
      <c r="G776" s="15"/>
      <c r="H776" s="15"/>
      <c r="I776" s="15"/>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8"/>
      <c r="AL776" s="9"/>
      <c r="AM776" s="9"/>
      <c r="AN776" s="11"/>
      <c r="AO776" s="11"/>
      <c r="AP776" s="11"/>
      <c r="AQ776" s="11"/>
      <c r="AR776" s="11"/>
      <c r="AS776" s="11"/>
      <c r="AT776" s="11"/>
      <c r="AU776" s="11"/>
      <c r="AV776" s="11"/>
      <c r="AW776" s="11"/>
      <c r="AX776" s="11"/>
      <c r="AY776" s="11"/>
      <c r="AZ776" s="11"/>
    </row>
    <row r="777" ht="15.75" customHeight="1">
      <c r="A777" s="12"/>
      <c r="B777" s="13"/>
      <c r="C777" s="14"/>
      <c r="D777" s="15"/>
      <c r="E777" s="15"/>
      <c r="F777" s="15"/>
      <c r="G777" s="15"/>
      <c r="H777" s="15"/>
      <c r="I777" s="15"/>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8"/>
      <c r="AL777" s="9"/>
      <c r="AM777" s="9"/>
      <c r="AN777" s="11"/>
      <c r="AO777" s="11"/>
      <c r="AP777" s="11"/>
      <c r="AQ777" s="11"/>
      <c r="AR777" s="11"/>
      <c r="AS777" s="11"/>
      <c r="AT777" s="11"/>
      <c r="AU777" s="11"/>
      <c r="AV777" s="11"/>
      <c r="AW777" s="11"/>
      <c r="AX777" s="11"/>
      <c r="AY777" s="11"/>
      <c r="AZ777" s="11"/>
    </row>
    <row r="778" ht="15.75" customHeight="1">
      <c r="A778" s="12"/>
      <c r="B778" s="13"/>
      <c r="C778" s="14"/>
      <c r="D778" s="15"/>
      <c r="E778" s="15"/>
      <c r="F778" s="15"/>
      <c r="G778" s="15"/>
      <c r="H778" s="15"/>
      <c r="I778" s="15"/>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8"/>
      <c r="AL778" s="9"/>
      <c r="AM778" s="9"/>
      <c r="AN778" s="11"/>
      <c r="AO778" s="11"/>
      <c r="AP778" s="11"/>
      <c r="AQ778" s="11"/>
      <c r="AR778" s="11"/>
      <c r="AS778" s="11"/>
      <c r="AT778" s="11"/>
      <c r="AU778" s="11"/>
      <c r="AV778" s="11"/>
      <c r="AW778" s="11"/>
      <c r="AX778" s="11"/>
      <c r="AY778" s="11"/>
      <c r="AZ778" s="11"/>
    </row>
    <row r="779" ht="15.75" customHeight="1">
      <c r="A779" s="12"/>
      <c r="B779" s="13"/>
      <c r="C779" s="14"/>
      <c r="D779" s="15"/>
      <c r="E779" s="15"/>
      <c r="F779" s="15"/>
      <c r="G779" s="15"/>
      <c r="H779" s="15"/>
      <c r="I779" s="15"/>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8"/>
      <c r="AL779" s="9"/>
      <c r="AM779" s="9"/>
      <c r="AN779" s="11"/>
      <c r="AO779" s="11"/>
      <c r="AP779" s="11"/>
      <c r="AQ779" s="11"/>
      <c r="AR779" s="11"/>
      <c r="AS779" s="11"/>
      <c r="AT779" s="11"/>
      <c r="AU779" s="11"/>
      <c r="AV779" s="11"/>
      <c r="AW779" s="11"/>
      <c r="AX779" s="11"/>
      <c r="AY779" s="11"/>
      <c r="AZ779" s="11"/>
    </row>
    <row r="780" ht="15.75" customHeight="1">
      <c r="A780" s="12"/>
      <c r="B780" s="13"/>
      <c r="C780" s="14"/>
      <c r="D780" s="15"/>
      <c r="E780" s="15"/>
      <c r="F780" s="15"/>
      <c r="G780" s="15"/>
      <c r="H780" s="15"/>
      <c r="I780" s="15"/>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8"/>
      <c r="AL780" s="9"/>
      <c r="AM780" s="9"/>
      <c r="AN780" s="11"/>
      <c r="AO780" s="11"/>
      <c r="AP780" s="11"/>
      <c r="AQ780" s="11"/>
      <c r="AR780" s="11"/>
      <c r="AS780" s="11"/>
      <c r="AT780" s="11"/>
      <c r="AU780" s="11"/>
      <c r="AV780" s="11"/>
      <c r="AW780" s="11"/>
      <c r="AX780" s="11"/>
      <c r="AY780" s="11"/>
      <c r="AZ780" s="11"/>
    </row>
    <row r="781" ht="15.75" customHeight="1">
      <c r="A781" s="12"/>
      <c r="B781" s="13"/>
      <c r="C781" s="14"/>
      <c r="D781" s="15"/>
      <c r="E781" s="15"/>
      <c r="F781" s="15"/>
      <c r="G781" s="15"/>
      <c r="H781" s="15"/>
      <c r="I781" s="15"/>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8"/>
      <c r="AL781" s="9"/>
      <c r="AM781" s="9"/>
      <c r="AN781" s="11"/>
      <c r="AO781" s="11"/>
      <c r="AP781" s="11"/>
      <c r="AQ781" s="11"/>
      <c r="AR781" s="11"/>
      <c r="AS781" s="11"/>
      <c r="AT781" s="11"/>
      <c r="AU781" s="11"/>
      <c r="AV781" s="11"/>
      <c r="AW781" s="11"/>
      <c r="AX781" s="11"/>
      <c r="AY781" s="11"/>
      <c r="AZ781" s="11"/>
    </row>
    <row r="782" ht="15.75" customHeight="1">
      <c r="A782" s="12"/>
      <c r="B782" s="13"/>
      <c r="C782" s="14"/>
      <c r="D782" s="15"/>
      <c r="E782" s="15"/>
      <c r="F782" s="15"/>
      <c r="G782" s="15"/>
      <c r="H782" s="15"/>
      <c r="I782" s="15"/>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8"/>
      <c r="AL782" s="9"/>
      <c r="AM782" s="9"/>
      <c r="AN782" s="11"/>
      <c r="AO782" s="11"/>
      <c r="AP782" s="11"/>
      <c r="AQ782" s="11"/>
      <c r="AR782" s="11"/>
      <c r="AS782" s="11"/>
      <c r="AT782" s="11"/>
      <c r="AU782" s="11"/>
      <c r="AV782" s="11"/>
      <c r="AW782" s="11"/>
      <c r="AX782" s="11"/>
      <c r="AY782" s="11"/>
      <c r="AZ782" s="11"/>
    </row>
    <row r="783" ht="15.75" customHeight="1">
      <c r="A783" s="12"/>
      <c r="B783" s="13"/>
      <c r="C783" s="14"/>
      <c r="D783" s="15"/>
      <c r="E783" s="15"/>
      <c r="F783" s="15"/>
      <c r="G783" s="15"/>
      <c r="H783" s="15"/>
      <c r="I783" s="15"/>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8"/>
      <c r="AL783" s="9"/>
      <c r="AM783" s="9"/>
      <c r="AN783" s="11"/>
      <c r="AO783" s="11"/>
      <c r="AP783" s="11"/>
      <c r="AQ783" s="11"/>
      <c r="AR783" s="11"/>
      <c r="AS783" s="11"/>
      <c r="AT783" s="11"/>
      <c r="AU783" s="11"/>
      <c r="AV783" s="11"/>
      <c r="AW783" s="11"/>
      <c r="AX783" s="11"/>
      <c r="AY783" s="11"/>
      <c r="AZ783" s="11"/>
    </row>
    <row r="784" ht="15.75" customHeight="1">
      <c r="A784" s="12"/>
      <c r="B784" s="13"/>
      <c r="C784" s="14"/>
      <c r="D784" s="15"/>
      <c r="E784" s="15"/>
      <c r="F784" s="15"/>
      <c r="G784" s="15"/>
      <c r="H784" s="15"/>
      <c r="I784" s="15"/>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8"/>
      <c r="AL784" s="9"/>
      <c r="AM784" s="9"/>
      <c r="AN784" s="11"/>
      <c r="AO784" s="11"/>
      <c r="AP784" s="11"/>
      <c r="AQ784" s="11"/>
      <c r="AR784" s="11"/>
      <c r="AS784" s="11"/>
      <c r="AT784" s="11"/>
      <c r="AU784" s="11"/>
      <c r="AV784" s="11"/>
      <c r="AW784" s="11"/>
      <c r="AX784" s="11"/>
      <c r="AY784" s="11"/>
      <c r="AZ784" s="11"/>
    </row>
    <row r="785" ht="15.75" customHeight="1">
      <c r="A785" s="12"/>
      <c r="B785" s="13"/>
      <c r="C785" s="14"/>
      <c r="D785" s="15"/>
      <c r="E785" s="15"/>
      <c r="F785" s="15"/>
      <c r="G785" s="15"/>
      <c r="H785" s="15"/>
      <c r="I785" s="15"/>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8"/>
      <c r="AL785" s="9"/>
      <c r="AM785" s="9"/>
      <c r="AN785" s="11"/>
      <c r="AO785" s="11"/>
      <c r="AP785" s="11"/>
      <c r="AQ785" s="11"/>
      <c r="AR785" s="11"/>
      <c r="AS785" s="11"/>
      <c r="AT785" s="11"/>
      <c r="AU785" s="11"/>
      <c r="AV785" s="11"/>
      <c r="AW785" s="11"/>
      <c r="AX785" s="11"/>
      <c r="AY785" s="11"/>
      <c r="AZ785" s="11"/>
    </row>
    <row r="786" ht="15.75" customHeight="1">
      <c r="A786" s="12"/>
      <c r="B786" s="13"/>
      <c r="C786" s="14"/>
      <c r="D786" s="15"/>
      <c r="E786" s="15"/>
      <c r="F786" s="15"/>
      <c r="G786" s="15"/>
      <c r="H786" s="15"/>
      <c r="I786" s="15"/>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8"/>
      <c r="AL786" s="9"/>
      <c r="AM786" s="9"/>
      <c r="AN786" s="11"/>
      <c r="AO786" s="11"/>
      <c r="AP786" s="11"/>
      <c r="AQ786" s="11"/>
      <c r="AR786" s="11"/>
      <c r="AS786" s="11"/>
      <c r="AT786" s="11"/>
      <c r="AU786" s="11"/>
      <c r="AV786" s="11"/>
      <c r="AW786" s="11"/>
      <c r="AX786" s="11"/>
      <c r="AY786" s="11"/>
      <c r="AZ786" s="11"/>
    </row>
    <row r="787" ht="15.75" customHeight="1">
      <c r="A787" s="12"/>
      <c r="B787" s="13"/>
      <c r="C787" s="14"/>
      <c r="D787" s="15"/>
      <c r="E787" s="15"/>
      <c r="F787" s="15"/>
      <c r="G787" s="15"/>
      <c r="H787" s="15"/>
      <c r="I787" s="15"/>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8"/>
      <c r="AL787" s="9"/>
      <c r="AM787" s="9"/>
      <c r="AN787" s="11"/>
      <c r="AO787" s="11"/>
      <c r="AP787" s="11"/>
      <c r="AQ787" s="11"/>
      <c r="AR787" s="11"/>
      <c r="AS787" s="11"/>
      <c r="AT787" s="11"/>
      <c r="AU787" s="11"/>
      <c r="AV787" s="11"/>
      <c r="AW787" s="11"/>
      <c r="AX787" s="11"/>
      <c r="AY787" s="11"/>
      <c r="AZ787" s="11"/>
    </row>
    <row r="788" ht="15.75" customHeight="1">
      <c r="A788" s="12"/>
      <c r="B788" s="13"/>
      <c r="C788" s="14"/>
      <c r="D788" s="15"/>
      <c r="E788" s="15"/>
      <c r="F788" s="15"/>
      <c r="G788" s="15"/>
      <c r="H788" s="15"/>
      <c r="I788" s="15"/>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8"/>
      <c r="AL788" s="9"/>
      <c r="AM788" s="9"/>
      <c r="AN788" s="11"/>
      <c r="AO788" s="11"/>
      <c r="AP788" s="11"/>
      <c r="AQ788" s="11"/>
      <c r="AR788" s="11"/>
      <c r="AS788" s="11"/>
      <c r="AT788" s="11"/>
      <c r="AU788" s="11"/>
      <c r="AV788" s="11"/>
      <c r="AW788" s="11"/>
      <c r="AX788" s="11"/>
      <c r="AY788" s="11"/>
      <c r="AZ788" s="11"/>
    </row>
    <row r="789" ht="15.75" customHeight="1">
      <c r="A789" s="12"/>
      <c r="B789" s="13"/>
      <c r="C789" s="14"/>
      <c r="D789" s="15"/>
      <c r="E789" s="15"/>
      <c r="F789" s="15"/>
      <c r="G789" s="15"/>
      <c r="H789" s="15"/>
      <c r="I789" s="15"/>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8"/>
      <c r="AL789" s="9"/>
      <c r="AM789" s="9"/>
      <c r="AN789" s="11"/>
      <c r="AO789" s="11"/>
      <c r="AP789" s="11"/>
      <c r="AQ789" s="11"/>
      <c r="AR789" s="11"/>
      <c r="AS789" s="11"/>
      <c r="AT789" s="11"/>
      <c r="AU789" s="11"/>
      <c r="AV789" s="11"/>
      <c r="AW789" s="11"/>
      <c r="AX789" s="11"/>
      <c r="AY789" s="11"/>
      <c r="AZ789" s="11"/>
    </row>
    <row r="790" ht="15.75" customHeight="1">
      <c r="A790" s="12"/>
      <c r="B790" s="13"/>
      <c r="C790" s="14"/>
      <c r="D790" s="15"/>
      <c r="E790" s="15"/>
      <c r="F790" s="15"/>
      <c r="G790" s="15"/>
      <c r="H790" s="15"/>
      <c r="I790" s="15"/>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8"/>
      <c r="AL790" s="9"/>
      <c r="AM790" s="9"/>
      <c r="AN790" s="11"/>
      <c r="AO790" s="11"/>
      <c r="AP790" s="11"/>
      <c r="AQ790" s="11"/>
      <c r="AR790" s="11"/>
      <c r="AS790" s="11"/>
      <c r="AT790" s="11"/>
      <c r="AU790" s="11"/>
      <c r="AV790" s="11"/>
      <c r="AW790" s="11"/>
      <c r="AX790" s="11"/>
      <c r="AY790" s="11"/>
      <c r="AZ790" s="11"/>
    </row>
    <row r="791" ht="15.75" customHeight="1">
      <c r="A791" s="12"/>
      <c r="B791" s="13"/>
      <c r="C791" s="14"/>
      <c r="D791" s="15"/>
      <c r="E791" s="15"/>
      <c r="F791" s="15"/>
      <c r="G791" s="15"/>
      <c r="H791" s="15"/>
      <c r="I791" s="15"/>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8"/>
      <c r="AL791" s="9"/>
      <c r="AM791" s="9"/>
      <c r="AN791" s="11"/>
      <c r="AO791" s="11"/>
      <c r="AP791" s="11"/>
      <c r="AQ791" s="11"/>
      <c r="AR791" s="11"/>
      <c r="AS791" s="11"/>
      <c r="AT791" s="11"/>
      <c r="AU791" s="11"/>
      <c r="AV791" s="11"/>
      <c r="AW791" s="11"/>
      <c r="AX791" s="11"/>
      <c r="AY791" s="11"/>
      <c r="AZ791" s="11"/>
    </row>
    <row r="792" ht="15.75" customHeight="1">
      <c r="A792" s="12"/>
      <c r="B792" s="13"/>
      <c r="C792" s="14"/>
      <c r="D792" s="15"/>
      <c r="E792" s="15"/>
      <c r="F792" s="15"/>
      <c r="G792" s="15"/>
      <c r="H792" s="15"/>
      <c r="I792" s="15"/>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8"/>
      <c r="AL792" s="9"/>
      <c r="AM792" s="9"/>
      <c r="AN792" s="11"/>
      <c r="AO792" s="11"/>
      <c r="AP792" s="11"/>
      <c r="AQ792" s="11"/>
      <c r="AR792" s="11"/>
      <c r="AS792" s="11"/>
      <c r="AT792" s="11"/>
      <c r="AU792" s="11"/>
      <c r="AV792" s="11"/>
      <c r="AW792" s="11"/>
      <c r="AX792" s="11"/>
      <c r="AY792" s="11"/>
      <c r="AZ792" s="11"/>
    </row>
    <row r="793" ht="15.75" customHeight="1">
      <c r="A793" s="12"/>
      <c r="B793" s="13"/>
      <c r="C793" s="14"/>
      <c r="D793" s="15"/>
      <c r="E793" s="15"/>
      <c r="F793" s="15"/>
      <c r="G793" s="15"/>
      <c r="H793" s="15"/>
      <c r="I793" s="15"/>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8"/>
      <c r="AL793" s="9"/>
      <c r="AM793" s="9"/>
      <c r="AN793" s="11"/>
      <c r="AO793" s="11"/>
      <c r="AP793" s="11"/>
      <c r="AQ793" s="11"/>
      <c r="AR793" s="11"/>
      <c r="AS793" s="11"/>
      <c r="AT793" s="11"/>
      <c r="AU793" s="11"/>
      <c r="AV793" s="11"/>
      <c r="AW793" s="11"/>
      <c r="AX793" s="11"/>
      <c r="AY793" s="11"/>
      <c r="AZ793" s="11"/>
    </row>
    <row r="794" ht="15.75" customHeight="1">
      <c r="A794" s="12"/>
      <c r="B794" s="13"/>
      <c r="C794" s="14"/>
      <c r="D794" s="15"/>
      <c r="E794" s="15"/>
      <c r="F794" s="15"/>
      <c r="G794" s="15"/>
      <c r="H794" s="15"/>
      <c r="I794" s="15"/>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8"/>
      <c r="AL794" s="9"/>
      <c r="AM794" s="9"/>
      <c r="AN794" s="11"/>
      <c r="AO794" s="11"/>
      <c r="AP794" s="11"/>
      <c r="AQ794" s="11"/>
      <c r="AR794" s="11"/>
      <c r="AS794" s="11"/>
      <c r="AT794" s="11"/>
      <c r="AU794" s="11"/>
      <c r="AV794" s="11"/>
      <c r="AW794" s="11"/>
      <c r="AX794" s="11"/>
      <c r="AY794" s="11"/>
      <c r="AZ794" s="11"/>
    </row>
    <row r="795" ht="15.75" customHeight="1">
      <c r="A795" s="12"/>
      <c r="B795" s="13"/>
      <c r="C795" s="14"/>
      <c r="D795" s="15"/>
      <c r="E795" s="15"/>
      <c r="F795" s="15"/>
      <c r="G795" s="15"/>
      <c r="H795" s="15"/>
      <c r="I795" s="15"/>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8"/>
      <c r="AL795" s="9"/>
      <c r="AM795" s="9"/>
      <c r="AN795" s="11"/>
      <c r="AO795" s="11"/>
      <c r="AP795" s="11"/>
      <c r="AQ795" s="11"/>
      <c r="AR795" s="11"/>
      <c r="AS795" s="11"/>
      <c r="AT795" s="11"/>
      <c r="AU795" s="11"/>
      <c r="AV795" s="11"/>
      <c r="AW795" s="11"/>
      <c r="AX795" s="11"/>
      <c r="AY795" s="11"/>
      <c r="AZ795" s="11"/>
    </row>
    <row r="796" ht="15.75" customHeight="1">
      <c r="A796" s="12"/>
      <c r="B796" s="13"/>
      <c r="C796" s="14"/>
      <c r="D796" s="15"/>
      <c r="E796" s="15"/>
      <c r="F796" s="15"/>
      <c r="G796" s="15"/>
      <c r="H796" s="15"/>
      <c r="I796" s="15"/>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8"/>
      <c r="AL796" s="9"/>
      <c r="AM796" s="9"/>
      <c r="AN796" s="11"/>
      <c r="AO796" s="11"/>
      <c r="AP796" s="11"/>
      <c r="AQ796" s="11"/>
      <c r="AR796" s="11"/>
      <c r="AS796" s="11"/>
      <c r="AT796" s="11"/>
      <c r="AU796" s="11"/>
      <c r="AV796" s="11"/>
      <c r="AW796" s="11"/>
      <c r="AX796" s="11"/>
      <c r="AY796" s="11"/>
      <c r="AZ796" s="11"/>
    </row>
    <row r="797" ht="15.75" customHeight="1">
      <c r="A797" s="12"/>
      <c r="B797" s="13"/>
      <c r="C797" s="14"/>
      <c r="D797" s="15"/>
      <c r="E797" s="15"/>
      <c r="F797" s="15"/>
      <c r="G797" s="15"/>
      <c r="H797" s="15"/>
      <c r="I797" s="15"/>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8"/>
      <c r="AL797" s="9"/>
      <c r="AM797" s="9"/>
      <c r="AN797" s="11"/>
      <c r="AO797" s="11"/>
      <c r="AP797" s="11"/>
      <c r="AQ797" s="11"/>
      <c r="AR797" s="11"/>
      <c r="AS797" s="11"/>
      <c r="AT797" s="11"/>
      <c r="AU797" s="11"/>
      <c r="AV797" s="11"/>
      <c r="AW797" s="11"/>
      <c r="AX797" s="11"/>
      <c r="AY797" s="11"/>
      <c r="AZ797" s="11"/>
    </row>
    <row r="798" ht="15.75" customHeight="1">
      <c r="A798" s="12"/>
      <c r="B798" s="13"/>
      <c r="C798" s="14"/>
      <c r="D798" s="15"/>
      <c r="E798" s="15"/>
      <c r="F798" s="15"/>
      <c r="G798" s="15"/>
      <c r="H798" s="15"/>
      <c r="I798" s="15"/>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8"/>
      <c r="AL798" s="9"/>
      <c r="AM798" s="9"/>
      <c r="AN798" s="11"/>
      <c r="AO798" s="11"/>
      <c r="AP798" s="11"/>
      <c r="AQ798" s="11"/>
      <c r="AR798" s="11"/>
      <c r="AS798" s="11"/>
      <c r="AT798" s="11"/>
      <c r="AU798" s="11"/>
      <c r="AV798" s="11"/>
      <c r="AW798" s="11"/>
      <c r="AX798" s="11"/>
      <c r="AY798" s="11"/>
      <c r="AZ798" s="11"/>
    </row>
    <row r="799" ht="15.75" customHeight="1">
      <c r="A799" s="12"/>
      <c r="B799" s="13"/>
      <c r="C799" s="14"/>
      <c r="D799" s="15"/>
      <c r="E799" s="15"/>
      <c r="F799" s="15"/>
      <c r="G799" s="15"/>
      <c r="H799" s="15"/>
      <c r="I799" s="15"/>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8"/>
      <c r="AL799" s="9"/>
      <c r="AM799" s="9"/>
      <c r="AN799" s="11"/>
      <c r="AO799" s="11"/>
      <c r="AP799" s="11"/>
      <c r="AQ799" s="11"/>
      <c r="AR799" s="11"/>
      <c r="AS799" s="11"/>
      <c r="AT799" s="11"/>
      <c r="AU799" s="11"/>
      <c r="AV799" s="11"/>
      <c r="AW799" s="11"/>
      <c r="AX799" s="11"/>
      <c r="AY799" s="11"/>
      <c r="AZ799" s="11"/>
    </row>
    <row r="800" ht="15.75" customHeight="1">
      <c r="A800" s="12"/>
      <c r="B800" s="13"/>
      <c r="C800" s="14"/>
      <c r="D800" s="15"/>
      <c r="E800" s="15"/>
      <c r="F800" s="15"/>
      <c r="G800" s="15"/>
      <c r="H800" s="15"/>
      <c r="I800" s="15"/>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8"/>
      <c r="AL800" s="9"/>
      <c r="AM800" s="9"/>
      <c r="AN800" s="11"/>
      <c r="AO800" s="11"/>
      <c r="AP800" s="11"/>
      <c r="AQ800" s="11"/>
      <c r="AR800" s="11"/>
      <c r="AS800" s="11"/>
      <c r="AT800" s="11"/>
      <c r="AU800" s="11"/>
      <c r="AV800" s="11"/>
      <c r="AW800" s="11"/>
      <c r="AX800" s="11"/>
      <c r="AY800" s="11"/>
      <c r="AZ800" s="11"/>
    </row>
    <row r="801" ht="15.75" customHeight="1">
      <c r="A801" s="12"/>
      <c r="B801" s="13"/>
      <c r="C801" s="14"/>
      <c r="D801" s="15"/>
      <c r="E801" s="15"/>
      <c r="F801" s="15"/>
      <c r="G801" s="15"/>
      <c r="H801" s="15"/>
      <c r="I801" s="15"/>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8"/>
      <c r="AL801" s="9"/>
      <c r="AM801" s="9"/>
      <c r="AN801" s="11"/>
      <c r="AO801" s="11"/>
      <c r="AP801" s="11"/>
      <c r="AQ801" s="11"/>
      <c r="AR801" s="11"/>
      <c r="AS801" s="11"/>
      <c r="AT801" s="11"/>
      <c r="AU801" s="11"/>
      <c r="AV801" s="11"/>
      <c r="AW801" s="11"/>
      <c r="AX801" s="11"/>
      <c r="AY801" s="11"/>
      <c r="AZ801" s="11"/>
    </row>
    <row r="802" ht="15.75" customHeight="1">
      <c r="A802" s="12"/>
      <c r="B802" s="13"/>
      <c r="C802" s="14"/>
      <c r="D802" s="15"/>
      <c r="E802" s="15"/>
      <c r="F802" s="15"/>
      <c r="G802" s="15"/>
      <c r="H802" s="15"/>
      <c r="I802" s="15"/>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8"/>
      <c r="AL802" s="9"/>
      <c r="AM802" s="9"/>
      <c r="AN802" s="11"/>
      <c r="AO802" s="11"/>
      <c r="AP802" s="11"/>
      <c r="AQ802" s="11"/>
      <c r="AR802" s="11"/>
      <c r="AS802" s="11"/>
      <c r="AT802" s="11"/>
      <c r="AU802" s="11"/>
      <c r="AV802" s="11"/>
      <c r="AW802" s="11"/>
      <c r="AX802" s="11"/>
      <c r="AY802" s="11"/>
      <c r="AZ802" s="11"/>
    </row>
    <row r="803" ht="15.75" customHeight="1">
      <c r="A803" s="12"/>
      <c r="B803" s="13"/>
      <c r="C803" s="14"/>
      <c r="D803" s="15"/>
      <c r="E803" s="15"/>
      <c r="F803" s="15"/>
      <c r="G803" s="15"/>
      <c r="H803" s="15"/>
      <c r="I803" s="15"/>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8"/>
      <c r="AL803" s="9"/>
      <c r="AM803" s="9"/>
      <c r="AN803" s="11"/>
      <c r="AO803" s="11"/>
      <c r="AP803" s="11"/>
      <c r="AQ803" s="11"/>
      <c r="AR803" s="11"/>
      <c r="AS803" s="11"/>
      <c r="AT803" s="11"/>
      <c r="AU803" s="11"/>
      <c r="AV803" s="11"/>
      <c r="AW803" s="11"/>
      <c r="AX803" s="11"/>
      <c r="AY803" s="11"/>
      <c r="AZ803" s="11"/>
    </row>
    <row r="804" ht="15.75" customHeight="1">
      <c r="A804" s="12"/>
      <c r="B804" s="13"/>
      <c r="C804" s="14"/>
      <c r="D804" s="15"/>
      <c r="E804" s="15"/>
      <c r="F804" s="15"/>
      <c r="G804" s="15"/>
      <c r="H804" s="15"/>
      <c r="I804" s="15"/>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8"/>
      <c r="AL804" s="9"/>
      <c r="AM804" s="9"/>
      <c r="AN804" s="11"/>
      <c r="AO804" s="11"/>
      <c r="AP804" s="11"/>
      <c r="AQ804" s="11"/>
      <c r="AR804" s="11"/>
      <c r="AS804" s="11"/>
      <c r="AT804" s="11"/>
      <c r="AU804" s="11"/>
      <c r="AV804" s="11"/>
      <c r="AW804" s="11"/>
      <c r="AX804" s="11"/>
      <c r="AY804" s="11"/>
      <c r="AZ804" s="11"/>
    </row>
    <row r="805" ht="15.75" customHeight="1">
      <c r="A805" s="12"/>
      <c r="B805" s="13"/>
      <c r="C805" s="14"/>
      <c r="D805" s="15"/>
      <c r="E805" s="15"/>
      <c r="F805" s="15"/>
      <c r="G805" s="15"/>
      <c r="H805" s="15"/>
      <c r="I805" s="15"/>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8"/>
      <c r="AL805" s="9"/>
      <c r="AM805" s="9"/>
      <c r="AN805" s="11"/>
      <c r="AO805" s="11"/>
      <c r="AP805" s="11"/>
      <c r="AQ805" s="11"/>
      <c r="AR805" s="11"/>
      <c r="AS805" s="11"/>
      <c r="AT805" s="11"/>
      <c r="AU805" s="11"/>
      <c r="AV805" s="11"/>
      <c r="AW805" s="11"/>
      <c r="AX805" s="11"/>
      <c r="AY805" s="11"/>
      <c r="AZ805" s="11"/>
    </row>
    <row r="806" ht="15.75" customHeight="1">
      <c r="A806" s="12"/>
      <c r="B806" s="13"/>
      <c r="C806" s="14"/>
      <c r="D806" s="15"/>
      <c r="E806" s="15"/>
      <c r="F806" s="15"/>
      <c r="G806" s="15"/>
      <c r="H806" s="15"/>
      <c r="I806" s="15"/>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8"/>
      <c r="AL806" s="9"/>
      <c r="AM806" s="9"/>
      <c r="AN806" s="11"/>
      <c r="AO806" s="11"/>
      <c r="AP806" s="11"/>
      <c r="AQ806" s="11"/>
      <c r="AR806" s="11"/>
      <c r="AS806" s="11"/>
      <c r="AT806" s="11"/>
      <c r="AU806" s="11"/>
      <c r="AV806" s="11"/>
      <c r="AW806" s="11"/>
      <c r="AX806" s="11"/>
      <c r="AY806" s="11"/>
      <c r="AZ806" s="11"/>
    </row>
    <row r="807" ht="15.75" customHeight="1">
      <c r="A807" s="12"/>
      <c r="B807" s="13"/>
      <c r="C807" s="14"/>
      <c r="D807" s="15"/>
      <c r="E807" s="15"/>
      <c r="F807" s="15"/>
      <c r="G807" s="15"/>
      <c r="H807" s="15"/>
      <c r="I807" s="15"/>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8"/>
      <c r="AL807" s="9"/>
      <c r="AM807" s="9"/>
      <c r="AN807" s="11"/>
      <c r="AO807" s="11"/>
      <c r="AP807" s="11"/>
      <c r="AQ807" s="11"/>
      <c r="AR807" s="11"/>
      <c r="AS807" s="11"/>
      <c r="AT807" s="11"/>
      <c r="AU807" s="11"/>
      <c r="AV807" s="11"/>
      <c r="AW807" s="11"/>
      <c r="AX807" s="11"/>
      <c r="AY807" s="11"/>
      <c r="AZ807" s="11"/>
    </row>
    <row r="808" ht="15.75" customHeight="1">
      <c r="A808" s="12"/>
      <c r="B808" s="13"/>
      <c r="C808" s="14"/>
      <c r="D808" s="15"/>
      <c r="E808" s="15"/>
      <c r="F808" s="15"/>
      <c r="G808" s="15"/>
      <c r="H808" s="15"/>
      <c r="I808" s="15"/>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8"/>
      <c r="AL808" s="9"/>
      <c r="AM808" s="9"/>
      <c r="AN808" s="11"/>
      <c r="AO808" s="11"/>
      <c r="AP808" s="11"/>
      <c r="AQ808" s="11"/>
      <c r="AR808" s="11"/>
      <c r="AS808" s="11"/>
      <c r="AT808" s="11"/>
      <c r="AU808" s="11"/>
      <c r="AV808" s="11"/>
      <c r="AW808" s="11"/>
      <c r="AX808" s="11"/>
      <c r="AY808" s="11"/>
      <c r="AZ808" s="11"/>
    </row>
    <row r="809" ht="15.75" customHeight="1">
      <c r="A809" s="12"/>
      <c r="B809" s="13"/>
      <c r="C809" s="14"/>
      <c r="D809" s="15"/>
      <c r="E809" s="15"/>
      <c r="F809" s="15"/>
      <c r="G809" s="15"/>
      <c r="H809" s="15"/>
      <c r="I809" s="15"/>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8"/>
      <c r="AL809" s="9"/>
      <c r="AM809" s="9"/>
      <c r="AN809" s="11"/>
      <c r="AO809" s="11"/>
      <c r="AP809" s="11"/>
      <c r="AQ809" s="11"/>
      <c r="AR809" s="11"/>
      <c r="AS809" s="11"/>
      <c r="AT809" s="11"/>
      <c r="AU809" s="11"/>
      <c r="AV809" s="11"/>
      <c r="AW809" s="11"/>
      <c r="AX809" s="11"/>
      <c r="AY809" s="11"/>
      <c r="AZ809" s="11"/>
    </row>
    <row r="810" ht="15.75" customHeight="1">
      <c r="A810" s="12"/>
      <c r="B810" s="13"/>
      <c r="C810" s="14"/>
      <c r="D810" s="15"/>
      <c r="E810" s="15"/>
      <c r="F810" s="15"/>
      <c r="G810" s="15"/>
      <c r="H810" s="15"/>
      <c r="I810" s="15"/>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8"/>
      <c r="AL810" s="9"/>
      <c r="AM810" s="9"/>
      <c r="AN810" s="11"/>
      <c r="AO810" s="11"/>
      <c r="AP810" s="11"/>
      <c r="AQ810" s="11"/>
      <c r="AR810" s="11"/>
      <c r="AS810" s="11"/>
      <c r="AT810" s="11"/>
      <c r="AU810" s="11"/>
      <c r="AV810" s="11"/>
      <c r="AW810" s="11"/>
      <c r="AX810" s="11"/>
      <c r="AY810" s="11"/>
      <c r="AZ810" s="11"/>
    </row>
    <row r="811" ht="15.75" customHeight="1">
      <c r="A811" s="12"/>
      <c r="B811" s="13"/>
      <c r="C811" s="14"/>
      <c r="D811" s="15"/>
      <c r="E811" s="15"/>
      <c r="F811" s="15"/>
      <c r="G811" s="15"/>
      <c r="H811" s="15"/>
      <c r="I811" s="15"/>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8"/>
      <c r="AL811" s="9"/>
      <c r="AM811" s="9"/>
      <c r="AN811" s="11"/>
      <c r="AO811" s="11"/>
      <c r="AP811" s="11"/>
      <c r="AQ811" s="11"/>
      <c r="AR811" s="11"/>
      <c r="AS811" s="11"/>
      <c r="AT811" s="11"/>
      <c r="AU811" s="11"/>
      <c r="AV811" s="11"/>
      <c r="AW811" s="11"/>
      <c r="AX811" s="11"/>
      <c r="AY811" s="11"/>
      <c r="AZ811" s="11"/>
    </row>
    <row r="812" ht="15.75" customHeight="1">
      <c r="A812" s="12"/>
      <c r="B812" s="13"/>
      <c r="C812" s="14"/>
      <c r="D812" s="15"/>
      <c r="E812" s="15"/>
      <c r="F812" s="15"/>
      <c r="G812" s="15"/>
      <c r="H812" s="15"/>
      <c r="I812" s="15"/>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8"/>
      <c r="AL812" s="9"/>
      <c r="AM812" s="9"/>
      <c r="AN812" s="11"/>
      <c r="AO812" s="11"/>
      <c r="AP812" s="11"/>
      <c r="AQ812" s="11"/>
      <c r="AR812" s="11"/>
      <c r="AS812" s="11"/>
      <c r="AT812" s="11"/>
      <c r="AU812" s="11"/>
      <c r="AV812" s="11"/>
      <c r="AW812" s="11"/>
      <c r="AX812" s="11"/>
      <c r="AY812" s="11"/>
      <c r="AZ812" s="11"/>
    </row>
    <row r="813" ht="15.75" customHeight="1">
      <c r="A813" s="12"/>
      <c r="B813" s="13"/>
      <c r="C813" s="14"/>
      <c r="D813" s="15"/>
      <c r="E813" s="15"/>
      <c r="F813" s="15"/>
      <c r="G813" s="15"/>
      <c r="H813" s="15"/>
      <c r="I813" s="15"/>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8"/>
      <c r="AL813" s="9"/>
      <c r="AM813" s="9"/>
      <c r="AN813" s="11"/>
      <c r="AO813" s="11"/>
      <c r="AP813" s="11"/>
      <c r="AQ813" s="11"/>
      <c r="AR813" s="11"/>
      <c r="AS813" s="11"/>
      <c r="AT813" s="11"/>
      <c r="AU813" s="11"/>
      <c r="AV813" s="11"/>
      <c r="AW813" s="11"/>
      <c r="AX813" s="11"/>
      <c r="AY813" s="11"/>
      <c r="AZ813" s="11"/>
    </row>
    <row r="814" ht="15.75" customHeight="1">
      <c r="A814" s="12"/>
      <c r="B814" s="13"/>
      <c r="C814" s="14"/>
      <c r="D814" s="15"/>
      <c r="E814" s="15"/>
      <c r="F814" s="15"/>
      <c r="G814" s="15"/>
      <c r="H814" s="15"/>
      <c r="I814" s="15"/>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8"/>
      <c r="AL814" s="9"/>
      <c r="AM814" s="9"/>
      <c r="AN814" s="11"/>
      <c r="AO814" s="11"/>
      <c r="AP814" s="11"/>
      <c r="AQ814" s="11"/>
      <c r="AR814" s="11"/>
      <c r="AS814" s="11"/>
      <c r="AT814" s="11"/>
      <c r="AU814" s="11"/>
      <c r="AV814" s="11"/>
      <c r="AW814" s="11"/>
      <c r="AX814" s="11"/>
      <c r="AY814" s="11"/>
      <c r="AZ814" s="11"/>
    </row>
    <row r="815" ht="15.75" customHeight="1">
      <c r="A815" s="12"/>
      <c r="B815" s="13"/>
      <c r="C815" s="14"/>
      <c r="D815" s="15"/>
      <c r="E815" s="15"/>
      <c r="F815" s="15"/>
      <c r="G815" s="15"/>
      <c r="H815" s="15"/>
      <c r="I815" s="15"/>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8"/>
      <c r="AL815" s="9"/>
      <c r="AM815" s="9"/>
      <c r="AN815" s="11"/>
      <c r="AO815" s="11"/>
      <c r="AP815" s="11"/>
      <c r="AQ815" s="11"/>
      <c r="AR815" s="11"/>
      <c r="AS815" s="11"/>
      <c r="AT815" s="11"/>
      <c r="AU815" s="11"/>
      <c r="AV815" s="11"/>
      <c r="AW815" s="11"/>
      <c r="AX815" s="11"/>
      <c r="AY815" s="11"/>
      <c r="AZ815" s="11"/>
    </row>
    <row r="816" ht="15.75" customHeight="1">
      <c r="A816" s="12"/>
      <c r="B816" s="13"/>
      <c r="C816" s="14"/>
      <c r="D816" s="15"/>
      <c r="E816" s="15"/>
      <c r="F816" s="15"/>
      <c r="G816" s="15"/>
      <c r="H816" s="15"/>
      <c r="I816" s="15"/>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8"/>
      <c r="AL816" s="9"/>
      <c r="AM816" s="9"/>
      <c r="AN816" s="11"/>
      <c r="AO816" s="11"/>
      <c r="AP816" s="11"/>
      <c r="AQ816" s="11"/>
      <c r="AR816" s="11"/>
      <c r="AS816" s="11"/>
      <c r="AT816" s="11"/>
      <c r="AU816" s="11"/>
      <c r="AV816" s="11"/>
      <c r="AW816" s="11"/>
      <c r="AX816" s="11"/>
      <c r="AY816" s="11"/>
      <c r="AZ816" s="11"/>
    </row>
    <row r="817" ht="15.75" customHeight="1">
      <c r="A817" s="12"/>
      <c r="B817" s="13"/>
      <c r="C817" s="14"/>
      <c r="D817" s="15"/>
      <c r="E817" s="15"/>
      <c r="F817" s="15"/>
      <c r="G817" s="15"/>
      <c r="H817" s="15"/>
      <c r="I817" s="15"/>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8"/>
      <c r="AL817" s="9"/>
      <c r="AM817" s="9"/>
      <c r="AN817" s="11"/>
      <c r="AO817" s="11"/>
      <c r="AP817" s="11"/>
      <c r="AQ817" s="11"/>
      <c r="AR817" s="11"/>
      <c r="AS817" s="11"/>
      <c r="AT817" s="11"/>
      <c r="AU817" s="11"/>
      <c r="AV817" s="11"/>
      <c r="AW817" s="11"/>
      <c r="AX817" s="11"/>
      <c r="AY817" s="11"/>
      <c r="AZ817" s="11"/>
    </row>
    <row r="818" ht="15.75" customHeight="1">
      <c r="A818" s="12"/>
      <c r="B818" s="13"/>
      <c r="C818" s="14"/>
      <c r="D818" s="15"/>
      <c r="E818" s="15"/>
      <c r="F818" s="15"/>
      <c r="G818" s="15"/>
      <c r="H818" s="15"/>
      <c r="I818" s="15"/>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8"/>
      <c r="AL818" s="9"/>
      <c r="AM818" s="9"/>
      <c r="AN818" s="11"/>
      <c r="AO818" s="11"/>
      <c r="AP818" s="11"/>
      <c r="AQ818" s="11"/>
      <c r="AR818" s="11"/>
      <c r="AS818" s="11"/>
      <c r="AT818" s="11"/>
      <c r="AU818" s="11"/>
      <c r="AV818" s="11"/>
      <c r="AW818" s="11"/>
      <c r="AX818" s="11"/>
      <c r="AY818" s="11"/>
      <c r="AZ818" s="11"/>
    </row>
    <row r="819" ht="15.75" customHeight="1">
      <c r="A819" s="12"/>
      <c r="B819" s="13"/>
      <c r="C819" s="14"/>
      <c r="D819" s="15"/>
      <c r="E819" s="15"/>
      <c r="F819" s="15"/>
      <c r="G819" s="15"/>
      <c r="H819" s="15"/>
      <c r="I819" s="15"/>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8"/>
      <c r="AL819" s="9"/>
      <c r="AM819" s="9"/>
      <c r="AN819" s="11"/>
      <c r="AO819" s="11"/>
      <c r="AP819" s="11"/>
      <c r="AQ819" s="11"/>
      <c r="AR819" s="11"/>
      <c r="AS819" s="11"/>
      <c r="AT819" s="11"/>
      <c r="AU819" s="11"/>
      <c r="AV819" s="11"/>
      <c r="AW819" s="11"/>
      <c r="AX819" s="11"/>
      <c r="AY819" s="11"/>
      <c r="AZ819" s="11"/>
    </row>
    <row r="820" ht="15.75" customHeight="1">
      <c r="A820" s="12"/>
      <c r="B820" s="13"/>
      <c r="C820" s="14"/>
      <c r="D820" s="15"/>
      <c r="E820" s="15"/>
      <c r="F820" s="15"/>
      <c r="G820" s="15"/>
      <c r="H820" s="15"/>
      <c r="I820" s="15"/>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8"/>
      <c r="AL820" s="9"/>
      <c r="AM820" s="9"/>
      <c r="AN820" s="11"/>
      <c r="AO820" s="11"/>
      <c r="AP820" s="11"/>
      <c r="AQ820" s="11"/>
      <c r="AR820" s="11"/>
      <c r="AS820" s="11"/>
      <c r="AT820" s="11"/>
      <c r="AU820" s="11"/>
      <c r="AV820" s="11"/>
      <c r="AW820" s="11"/>
      <c r="AX820" s="11"/>
      <c r="AY820" s="11"/>
      <c r="AZ820" s="11"/>
    </row>
    <row r="821" ht="15.75" customHeight="1">
      <c r="A821" s="12"/>
      <c r="B821" s="13"/>
      <c r="C821" s="14"/>
      <c r="D821" s="15"/>
      <c r="E821" s="15"/>
      <c r="F821" s="15"/>
      <c r="G821" s="15"/>
      <c r="H821" s="15"/>
      <c r="I821" s="15"/>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8"/>
      <c r="AL821" s="9"/>
      <c r="AM821" s="9"/>
      <c r="AN821" s="11"/>
      <c r="AO821" s="11"/>
      <c r="AP821" s="11"/>
      <c r="AQ821" s="11"/>
      <c r="AR821" s="11"/>
      <c r="AS821" s="11"/>
      <c r="AT821" s="11"/>
      <c r="AU821" s="11"/>
      <c r="AV821" s="11"/>
      <c r="AW821" s="11"/>
      <c r="AX821" s="11"/>
      <c r="AY821" s="11"/>
      <c r="AZ821" s="11"/>
    </row>
    <row r="822" ht="15.75" customHeight="1">
      <c r="A822" s="12"/>
      <c r="B822" s="13"/>
      <c r="C822" s="14"/>
      <c r="D822" s="15"/>
      <c r="E822" s="15"/>
      <c r="F822" s="15"/>
      <c r="G822" s="15"/>
      <c r="H822" s="15"/>
      <c r="I822" s="15"/>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8"/>
      <c r="AL822" s="9"/>
      <c r="AM822" s="9"/>
      <c r="AN822" s="11"/>
      <c r="AO822" s="11"/>
      <c r="AP822" s="11"/>
      <c r="AQ822" s="11"/>
      <c r="AR822" s="11"/>
      <c r="AS822" s="11"/>
      <c r="AT822" s="11"/>
      <c r="AU822" s="11"/>
      <c r="AV822" s="11"/>
      <c r="AW822" s="11"/>
      <c r="AX822" s="11"/>
      <c r="AY822" s="11"/>
      <c r="AZ822" s="11"/>
    </row>
    <row r="823" ht="15.75" customHeight="1">
      <c r="A823" s="12"/>
      <c r="B823" s="13"/>
      <c r="C823" s="14"/>
      <c r="D823" s="15"/>
      <c r="E823" s="15"/>
      <c r="F823" s="15"/>
      <c r="G823" s="15"/>
      <c r="H823" s="15"/>
      <c r="I823" s="15"/>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8"/>
      <c r="AL823" s="9"/>
      <c r="AM823" s="9"/>
      <c r="AN823" s="11"/>
      <c r="AO823" s="11"/>
      <c r="AP823" s="11"/>
      <c r="AQ823" s="11"/>
      <c r="AR823" s="11"/>
      <c r="AS823" s="11"/>
      <c r="AT823" s="11"/>
      <c r="AU823" s="11"/>
      <c r="AV823" s="11"/>
      <c r="AW823" s="11"/>
      <c r="AX823" s="11"/>
      <c r="AY823" s="11"/>
      <c r="AZ823" s="11"/>
    </row>
    <row r="824" ht="15.75" customHeight="1">
      <c r="A824" s="12"/>
      <c r="B824" s="13"/>
      <c r="C824" s="14"/>
      <c r="D824" s="15"/>
      <c r="E824" s="15"/>
      <c r="F824" s="15"/>
      <c r="G824" s="15"/>
      <c r="H824" s="15"/>
      <c r="I824" s="15"/>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8"/>
      <c r="AL824" s="9"/>
      <c r="AM824" s="9"/>
      <c r="AN824" s="11"/>
      <c r="AO824" s="11"/>
      <c r="AP824" s="11"/>
      <c r="AQ824" s="11"/>
      <c r="AR824" s="11"/>
      <c r="AS824" s="11"/>
      <c r="AT824" s="11"/>
      <c r="AU824" s="11"/>
      <c r="AV824" s="11"/>
      <c r="AW824" s="11"/>
      <c r="AX824" s="11"/>
      <c r="AY824" s="11"/>
      <c r="AZ824" s="11"/>
    </row>
    <row r="825" ht="15.75" customHeight="1">
      <c r="A825" s="12"/>
      <c r="B825" s="13"/>
      <c r="C825" s="14"/>
      <c r="D825" s="15"/>
      <c r="E825" s="15"/>
      <c r="F825" s="15"/>
      <c r="G825" s="15"/>
      <c r="H825" s="15"/>
      <c r="I825" s="15"/>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8"/>
      <c r="AL825" s="9"/>
      <c r="AM825" s="9"/>
      <c r="AN825" s="11"/>
      <c r="AO825" s="11"/>
      <c r="AP825" s="11"/>
      <c r="AQ825" s="11"/>
      <c r="AR825" s="11"/>
      <c r="AS825" s="11"/>
      <c r="AT825" s="11"/>
      <c r="AU825" s="11"/>
      <c r="AV825" s="11"/>
      <c r="AW825" s="11"/>
      <c r="AX825" s="11"/>
      <c r="AY825" s="11"/>
      <c r="AZ825" s="11"/>
    </row>
    <row r="826" ht="15.75" customHeight="1">
      <c r="A826" s="12"/>
      <c r="B826" s="13"/>
      <c r="C826" s="14"/>
      <c r="D826" s="15"/>
      <c r="E826" s="15"/>
      <c r="F826" s="15"/>
      <c r="G826" s="15"/>
      <c r="H826" s="15"/>
      <c r="I826" s="15"/>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8"/>
      <c r="AL826" s="9"/>
      <c r="AM826" s="9"/>
      <c r="AN826" s="11"/>
      <c r="AO826" s="11"/>
      <c r="AP826" s="11"/>
      <c r="AQ826" s="11"/>
      <c r="AR826" s="11"/>
      <c r="AS826" s="11"/>
      <c r="AT826" s="11"/>
      <c r="AU826" s="11"/>
      <c r="AV826" s="11"/>
      <c r="AW826" s="11"/>
      <c r="AX826" s="11"/>
      <c r="AY826" s="11"/>
      <c r="AZ826" s="11"/>
    </row>
    <row r="827" ht="15.75" customHeight="1">
      <c r="A827" s="12"/>
      <c r="B827" s="13"/>
      <c r="C827" s="14"/>
      <c r="D827" s="15"/>
      <c r="E827" s="15"/>
      <c r="F827" s="15"/>
      <c r="G827" s="15"/>
      <c r="H827" s="15"/>
      <c r="I827" s="15"/>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8"/>
      <c r="AL827" s="9"/>
      <c r="AM827" s="9"/>
      <c r="AN827" s="11"/>
      <c r="AO827" s="11"/>
      <c r="AP827" s="11"/>
      <c r="AQ827" s="11"/>
      <c r="AR827" s="11"/>
      <c r="AS827" s="11"/>
      <c r="AT827" s="11"/>
      <c r="AU827" s="11"/>
      <c r="AV827" s="11"/>
      <c r="AW827" s="11"/>
      <c r="AX827" s="11"/>
      <c r="AY827" s="11"/>
      <c r="AZ827" s="11"/>
    </row>
    <row r="828" ht="15.75" customHeight="1">
      <c r="A828" s="12"/>
      <c r="B828" s="13"/>
      <c r="C828" s="14"/>
      <c r="D828" s="15"/>
      <c r="E828" s="15"/>
      <c r="F828" s="15"/>
      <c r="G828" s="15"/>
      <c r="H828" s="15"/>
      <c r="I828" s="15"/>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8"/>
      <c r="AL828" s="9"/>
      <c r="AM828" s="9"/>
      <c r="AN828" s="11"/>
      <c r="AO828" s="11"/>
      <c r="AP828" s="11"/>
      <c r="AQ828" s="11"/>
      <c r="AR828" s="11"/>
      <c r="AS828" s="11"/>
      <c r="AT828" s="11"/>
      <c r="AU828" s="11"/>
      <c r="AV828" s="11"/>
      <c r="AW828" s="11"/>
      <c r="AX828" s="11"/>
      <c r="AY828" s="11"/>
      <c r="AZ828" s="11"/>
    </row>
    <row r="829" ht="15.75" customHeight="1">
      <c r="A829" s="12"/>
      <c r="B829" s="13"/>
      <c r="C829" s="14"/>
      <c r="D829" s="15"/>
      <c r="E829" s="15"/>
      <c r="F829" s="15"/>
      <c r="G829" s="15"/>
      <c r="H829" s="15"/>
      <c r="I829" s="15"/>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8"/>
      <c r="AL829" s="9"/>
      <c r="AM829" s="9"/>
      <c r="AN829" s="11"/>
      <c r="AO829" s="11"/>
      <c r="AP829" s="11"/>
      <c r="AQ829" s="11"/>
      <c r="AR829" s="11"/>
      <c r="AS829" s="11"/>
      <c r="AT829" s="11"/>
      <c r="AU829" s="11"/>
      <c r="AV829" s="11"/>
      <c r="AW829" s="11"/>
      <c r="AX829" s="11"/>
      <c r="AY829" s="11"/>
      <c r="AZ829" s="11"/>
    </row>
    <row r="830" ht="15.75" customHeight="1">
      <c r="A830" s="12"/>
      <c r="B830" s="13"/>
      <c r="C830" s="14"/>
      <c r="D830" s="15"/>
      <c r="E830" s="15"/>
      <c r="F830" s="15"/>
      <c r="G830" s="15"/>
      <c r="H830" s="15"/>
      <c r="I830" s="15"/>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8"/>
      <c r="AL830" s="9"/>
      <c r="AM830" s="9"/>
      <c r="AN830" s="11"/>
      <c r="AO830" s="11"/>
      <c r="AP830" s="11"/>
      <c r="AQ830" s="11"/>
      <c r="AR830" s="11"/>
      <c r="AS830" s="11"/>
      <c r="AT830" s="11"/>
      <c r="AU830" s="11"/>
      <c r="AV830" s="11"/>
      <c r="AW830" s="11"/>
      <c r="AX830" s="11"/>
      <c r="AY830" s="11"/>
      <c r="AZ830" s="11"/>
    </row>
    <row r="831" ht="15.75" customHeight="1">
      <c r="A831" s="12"/>
      <c r="B831" s="13"/>
      <c r="C831" s="14"/>
      <c r="D831" s="15"/>
      <c r="E831" s="15"/>
      <c r="F831" s="15"/>
      <c r="G831" s="15"/>
      <c r="H831" s="15"/>
      <c r="I831" s="15"/>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8"/>
      <c r="AL831" s="9"/>
      <c r="AM831" s="9"/>
      <c r="AN831" s="11"/>
      <c r="AO831" s="11"/>
      <c r="AP831" s="11"/>
      <c r="AQ831" s="11"/>
      <c r="AR831" s="11"/>
      <c r="AS831" s="11"/>
      <c r="AT831" s="11"/>
      <c r="AU831" s="11"/>
      <c r="AV831" s="11"/>
      <c r="AW831" s="11"/>
      <c r="AX831" s="11"/>
      <c r="AY831" s="11"/>
      <c r="AZ831" s="11"/>
    </row>
    <row r="832" ht="15.75" customHeight="1">
      <c r="A832" s="12"/>
      <c r="B832" s="13"/>
      <c r="C832" s="14"/>
      <c r="D832" s="15"/>
      <c r="E832" s="15"/>
      <c r="F832" s="15"/>
      <c r="G832" s="15"/>
      <c r="H832" s="15"/>
      <c r="I832" s="15"/>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8"/>
      <c r="AL832" s="9"/>
      <c r="AM832" s="9"/>
      <c r="AN832" s="11"/>
      <c r="AO832" s="11"/>
      <c r="AP832" s="11"/>
      <c r="AQ832" s="11"/>
      <c r="AR832" s="11"/>
      <c r="AS832" s="11"/>
      <c r="AT832" s="11"/>
      <c r="AU832" s="11"/>
      <c r="AV832" s="11"/>
      <c r="AW832" s="11"/>
      <c r="AX832" s="11"/>
      <c r="AY832" s="11"/>
      <c r="AZ832" s="11"/>
    </row>
    <row r="833" ht="15.75" customHeight="1">
      <c r="A833" s="12"/>
      <c r="B833" s="13"/>
      <c r="C833" s="14"/>
      <c r="D833" s="15"/>
      <c r="E833" s="15"/>
      <c r="F833" s="15"/>
      <c r="G833" s="15"/>
      <c r="H833" s="15"/>
      <c r="I833" s="15"/>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8"/>
      <c r="AL833" s="9"/>
      <c r="AM833" s="9"/>
      <c r="AN833" s="11"/>
      <c r="AO833" s="11"/>
      <c r="AP833" s="11"/>
      <c r="AQ833" s="11"/>
      <c r="AR833" s="11"/>
      <c r="AS833" s="11"/>
      <c r="AT833" s="11"/>
      <c r="AU833" s="11"/>
      <c r="AV833" s="11"/>
      <c r="AW833" s="11"/>
      <c r="AX833" s="11"/>
      <c r="AY833" s="11"/>
      <c r="AZ833" s="11"/>
    </row>
    <row r="834" ht="15.75" customHeight="1">
      <c r="A834" s="12"/>
      <c r="B834" s="13"/>
      <c r="C834" s="14"/>
      <c r="D834" s="15"/>
      <c r="E834" s="15"/>
      <c r="F834" s="15"/>
      <c r="G834" s="15"/>
      <c r="H834" s="15"/>
      <c r="I834" s="15"/>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8"/>
      <c r="AL834" s="9"/>
      <c r="AM834" s="9"/>
      <c r="AN834" s="11"/>
      <c r="AO834" s="11"/>
      <c r="AP834" s="11"/>
      <c r="AQ834" s="11"/>
      <c r="AR834" s="11"/>
      <c r="AS834" s="11"/>
      <c r="AT834" s="11"/>
      <c r="AU834" s="11"/>
      <c r="AV834" s="11"/>
      <c r="AW834" s="11"/>
      <c r="AX834" s="11"/>
      <c r="AY834" s="11"/>
      <c r="AZ834" s="11"/>
    </row>
    <row r="835" ht="15.75" customHeight="1">
      <c r="A835" s="12"/>
      <c r="B835" s="13"/>
      <c r="C835" s="14"/>
      <c r="D835" s="15"/>
      <c r="E835" s="15"/>
      <c r="F835" s="15"/>
      <c r="G835" s="15"/>
      <c r="H835" s="15"/>
      <c r="I835" s="15"/>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8"/>
      <c r="AL835" s="9"/>
      <c r="AM835" s="9"/>
      <c r="AN835" s="11"/>
      <c r="AO835" s="11"/>
      <c r="AP835" s="11"/>
      <c r="AQ835" s="11"/>
      <c r="AR835" s="11"/>
      <c r="AS835" s="11"/>
      <c r="AT835" s="11"/>
      <c r="AU835" s="11"/>
      <c r="AV835" s="11"/>
      <c r="AW835" s="11"/>
      <c r="AX835" s="11"/>
      <c r="AY835" s="11"/>
      <c r="AZ835" s="11"/>
    </row>
    <row r="836" ht="15.75" customHeight="1">
      <c r="A836" s="12"/>
      <c r="B836" s="13"/>
      <c r="C836" s="14"/>
      <c r="D836" s="15"/>
      <c r="E836" s="15"/>
      <c r="F836" s="15"/>
      <c r="G836" s="15"/>
      <c r="H836" s="15"/>
      <c r="I836" s="15"/>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8"/>
      <c r="AL836" s="9"/>
      <c r="AM836" s="9"/>
      <c r="AN836" s="11"/>
      <c r="AO836" s="11"/>
      <c r="AP836" s="11"/>
      <c r="AQ836" s="11"/>
      <c r="AR836" s="11"/>
      <c r="AS836" s="11"/>
      <c r="AT836" s="11"/>
      <c r="AU836" s="11"/>
      <c r="AV836" s="11"/>
      <c r="AW836" s="11"/>
      <c r="AX836" s="11"/>
      <c r="AY836" s="11"/>
      <c r="AZ836" s="11"/>
    </row>
    <row r="837" ht="15.75" customHeight="1">
      <c r="A837" s="12"/>
      <c r="B837" s="13"/>
      <c r="C837" s="14"/>
      <c r="D837" s="15"/>
      <c r="E837" s="15"/>
      <c r="F837" s="15"/>
      <c r="G837" s="15"/>
      <c r="H837" s="15"/>
      <c r="I837" s="15"/>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8"/>
      <c r="AL837" s="9"/>
      <c r="AM837" s="9"/>
      <c r="AN837" s="11"/>
      <c r="AO837" s="11"/>
      <c r="AP837" s="11"/>
      <c r="AQ837" s="11"/>
      <c r="AR837" s="11"/>
      <c r="AS837" s="11"/>
      <c r="AT837" s="11"/>
      <c r="AU837" s="11"/>
      <c r="AV837" s="11"/>
      <c r="AW837" s="11"/>
      <c r="AX837" s="11"/>
      <c r="AY837" s="11"/>
      <c r="AZ837" s="11"/>
    </row>
    <row r="838" ht="15.75" customHeight="1">
      <c r="A838" s="12"/>
      <c r="B838" s="13"/>
      <c r="C838" s="14"/>
      <c r="D838" s="15"/>
      <c r="E838" s="15"/>
      <c r="F838" s="15"/>
      <c r="G838" s="15"/>
      <c r="H838" s="15"/>
      <c r="I838" s="15"/>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8"/>
      <c r="AL838" s="9"/>
      <c r="AM838" s="9"/>
      <c r="AN838" s="11"/>
      <c r="AO838" s="11"/>
      <c r="AP838" s="11"/>
      <c r="AQ838" s="11"/>
      <c r="AR838" s="11"/>
      <c r="AS838" s="11"/>
      <c r="AT838" s="11"/>
      <c r="AU838" s="11"/>
      <c r="AV838" s="11"/>
      <c r="AW838" s="11"/>
      <c r="AX838" s="11"/>
      <c r="AY838" s="11"/>
      <c r="AZ838" s="11"/>
    </row>
    <row r="839" ht="15.75" customHeight="1">
      <c r="A839" s="12"/>
      <c r="B839" s="13"/>
      <c r="C839" s="14"/>
      <c r="D839" s="15"/>
      <c r="E839" s="15"/>
      <c r="F839" s="15"/>
      <c r="G839" s="15"/>
      <c r="H839" s="15"/>
      <c r="I839" s="15"/>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8"/>
      <c r="AL839" s="9"/>
      <c r="AM839" s="9"/>
      <c r="AN839" s="11"/>
      <c r="AO839" s="11"/>
      <c r="AP839" s="11"/>
      <c r="AQ839" s="11"/>
      <c r="AR839" s="11"/>
      <c r="AS839" s="11"/>
      <c r="AT839" s="11"/>
      <c r="AU839" s="11"/>
      <c r="AV839" s="11"/>
      <c r="AW839" s="11"/>
      <c r="AX839" s="11"/>
      <c r="AY839" s="11"/>
      <c r="AZ839" s="11"/>
    </row>
    <row r="840" ht="15.75" customHeight="1">
      <c r="A840" s="12"/>
      <c r="B840" s="13"/>
      <c r="C840" s="14"/>
      <c r="D840" s="15"/>
      <c r="E840" s="15"/>
      <c r="F840" s="15"/>
      <c r="G840" s="15"/>
      <c r="H840" s="15"/>
      <c r="I840" s="15"/>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8"/>
      <c r="AL840" s="9"/>
      <c r="AM840" s="9"/>
      <c r="AN840" s="11"/>
      <c r="AO840" s="11"/>
      <c r="AP840" s="11"/>
      <c r="AQ840" s="11"/>
      <c r="AR840" s="11"/>
      <c r="AS840" s="11"/>
      <c r="AT840" s="11"/>
      <c r="AU840" s="11"/>
      <c r="AV840" s="11"/>
      <c r="AW840" s="11"/>
      <c r="AX840" s="11"/>
      <c r="AY840" s="11"/>
      <c r="AZ840" s="11"/>
    </row>
    <row r="841" ht="15.75" customHeight="1">
      <c r="A841" s="12"/>
      <c r="B841" s="13"/>
      <c r="C841" s="14"/>
      <c r="D841" s="15"/>
      <c r="E841" s="15"/>
      <c r="F841" s="15"/>
      <c r="G841" s="15"/>
      <c r="H841" s="15"/>
      <c r="I841" s="15"/>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8"/>
      <c r="AL841" s="9"/>
      <c r="AM841" s="9"/>
      <c r="AN841" s="11"/>
      <c r="AO841" s="11"/>
      <c r="AP841" s="11"/>
      <c r="AQ841" s="11"/>
      <c r="AR841" s="11"/>
      <c r="AS841" s="11"/>
      <c r="AT841" s="11"/>
      <c r="AU841" s="11"/>
      <c r="AV841" s="11"/>
      <c r="AW841" s="11"/>
      <c r="AX841" s="11"/>
      <c r="AY841" s="11"/>
      <c r="AZ841" s="11"/>
    </row>
    <row r="842" ht="15.75" customHeight="1">
      <c r="A842" s="12"/>
      <c r="B842" s="13"/>
      <c r="C842" s="14"/>
      <c r="D842" s="15"/>
      <c r="E842" s="15"/>
      <c r="F842" s="15"/>
      <c r="G842" s="15"/>
      <c r="H842" s="15"/>
      <c r="I842" s="15"/>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8"/>
      <c r="AL842" s="9"/>
      <c r="AM842" s="9"/>
      <c r="AN842" s="11"/>
      <c r="AO842" s="11"/>
      <c r="AP842" s="11"/>
      <c r="AQ842" s="11"/>
      <c r="AR842" s="11"/>
      <c r="AS842" s="11"/>
      <c r="AT842" s="11"/>
      <c r="AU842" s="11"/>
      <c r="AV842" s="11"/>
      <c r="AW842" s="11"/>
      <c r="AX842" s="11"/>
      <c r="AY842" s="11"/>
      <c r="AZ842" s="11"/>
    </row>
    <row r="843" ht="15.75" customHeight="1">
      <c r="A843" s="12"/>
      <c r="B843" s="13"/>
      <c r="C843" s="14"/>
      <c r="D843" s="15"/>
      <c r="E843" s="15"/>
      <c r="F843" s="15"/>
      <c r="G843" s="15"/>
      <c r="H843" s="15"/>
      <c r="I843" s="15"/>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8"/>
      <c r="AL843" s="9"/>
      <c r="AM843" s="9"/>
      <c r="AN843" s="11"/>
      <c r="AO843" s="11"/>
      <c r="AP843" s="11"/>
      <c r="AQ843" s="11"/>
      <c r="AR843" s="11"/>
      <c r="AS843" s="11"/>
      <c r="AT843" s="11"/>
      <c r="AU843" s="11"/>
      <c r="AV843" s="11"/>
      <c r="AW843" s="11"/>
      <c r="AX843" s="11"/>
      <c r="AY843" s="11"/>
      <c r="AZ843" s="11"/>
    </row>
    <row r="844" ht="15.75" customHeight="1">
      <c r="A844" s="12"/>
      <c r="B844" s="13"/>
      <c r="C844" s="14"/>
      <c r="D844" s="15"/>
      <c r="E844" s="15"/>
      <c r="F844" s="15"/>
      <c r="G844" s="15"/>
      <c r="H844" s="15"/>
      <c r="I844" s="15"/>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8"/>
      <c r="AL844" s="9"/>
      <c r="AM844" s="9"/>
      <c r="AN844" s="11"/>
      <c r="AO844" s="11"/>
      <c r="AP844" s="11"/>
      <c r="AQ844" s="11"/>
      <c r="AR844" s="11"/>
      <c r="AS844" s="11"/>
      <c r="AT844" s="11"/>
      <c r="AU844" s="11"/>
      <c r="AV844" s="11"/>
      <c r="AW844" s="11"/>
      <c r="AX844" s="11"/>
      <c r="AY844" s="11"/>
      <c r="AZ844" s="11"/>
    </row>
    <row r="845" ht="15.75" customHeight="1">
      <c r="A845" s="12"/>
      <c r="B845" s="13"/>
      <c r="C845" s="14"/>
      <c r="D845" s="15"/>
      <c r="E845" s="15"/>
      <c r="F845" s="15"/>
      <c r="G845" s="15"/>
      <c r="H845" s="15"/>
      <c r="I845" s="15"/>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8"/>
      <c r="AL845" s="9"/>
      <c r="AM845" s="9"/>
      <c r="AN845" s="11"/>
      <c r="AO845" s="11"/>
      <c r="AP845" s="11"/>
      <c r="AQ845" s="11"/>
      <c r="AR845" s="11"/>
      <c r="AS845" s="11"/>
      <c r="AT845" s="11"/>
      <c r="AU845" s="11"/>
      <c r="AV845" s="11"/>
      <c r="AW845" s="11"/>
      <c r="AX845" s="11"/>
      <c r="AY845" s="11"/>
      <c r="AZ845" s="11"/>
    </row>
    <row r="846" ht="15.75" customHeight="1">
      <c r="A846" s="12"/>
      <c r="B846" s="13"/>
      <c r="C846" s="14"/>
      <c r="D846" s="15"/>
      <c r="E846" s="15"/>
      <c r="F846" s="15"/>
      <c r="G846" s="15"/>
      <c r="H846" s="15"/>
      <c r="I846" s="15"/>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8"/>
      <c r="AL846" s="9"/>
      <c r="AM846" s="9"/>
      <c r="AN846" s="11"/>
      <c r="AO846" s="11"/>
      <c r="AP846" s="11"/>
      <c r="AQ846" s="11"/>
      <c r="AR846" s="11"/>
      <c r="AS846" s="11"/>
      <c r="AT846" s="11"/>
      <c r="AU846" s="11"/>
      <c r="AV846" s="11"/>
      <c r="AW846" s="11"/>
      <c r="AX846" s="11"/>
      <c r="AY846" s="11"/>
      <c r="AZ846" s="11"/>
    </row>
    <row r="847" ht="15.75" customHeight="1">
      <c r="A847" s="12"/>
      <c r="B847" s="13"/>
      <c r="C847" s="14"/>
      <c r="D847" s="15"/>
      <c r="E847" s="15"/>
      <c r="F847" s="15"/>
      <c r="G847" s="15"/>
      <c r="H847" s="15"/>
      <c r="I847" s="15"/>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8"/>
      <c r="AL847" s="9"/>
      <c r="AM847" s="9"/>
      <c r="AN847" s="11"/>
      <c r="AO847" s="11"/>
      <c r="AP847" s="11"/>
      <c r="AQ847" s="11"/>
      <c r="AR847" s="11"/>
      <c r="AS847" s="11"/>
      <c r="AT847" s="11"/>
      <c r="AU847" s="11"/>
      <c r="AV847" s="11"/>
      <c r="AW847" s="11"/>
      <c r="AX847" s="11"/>
      <c r="AY847" s="11"/>
      <c r="AZ847" s="11"/>
    </row>
    <row r="848" ht="15.75" customHeight="1">
      <c r="A848" s="12"/>
      <c r="B848" s="13"/>
      <c r="C848" s="14"/>
      <c r="D848" s="15"/>
      <c r="E848" s="15"/>
      <c r="F848" s="15"/>
      <c r="G848" s="15"/>
      <c r="H848" s="15"/>
      <c r="I848" s="15"/>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8"/>
      <c r="AL848" s="9"/>
      <c r="AM848" s="9"/>
      <c r="AN848" s="11"/>
      <c r="AO848" s="11"/>
      <c r="AP848" s="11"/>
      <c r="AQ848" s="11"/>
      <c r="AR848" s="11"/>
      <c r="AS848" s="11"/>
      <c r="AT848" s="11"/>
      <c r="AU848" s="11"/>
      <c r="AV848" s="11"/>
      <c r="AW848" s="11"/>
      <c r="AX848" s="11"/>
      <c r="AY848" s="11"/>
      <c r="AZ848" s="11"/>
    </row>
    <row r="849" ht="15.75" customHeight="1">
      <c r="A849" s="12"/>
      <c r="B849" s="13"/>
      <c r="C849" s="14"/>
      <c r="D849" s="15"/>
      <c r="E849" s="15"/>
      <c r="F849" s="15"/>
      <c r="G849" s="15"/>
      <c r="H849" s="15"/>
      <c r="I849" s="15"/>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8"/>
      <c r="AL849" s="9"/>
      <c r="AM849" s="9"/>
      <c r="AN849" s="11"/>
      <c r="AO849" s="11"/>
      <c r="AP849" s="11"/>
      <c r="AQ849" s="11"/>
      <c r="AR849" s="11"/>
      <c r="AS849" s="11"/>
      <c r="AT849" s="11"/>
      <c r="AU849" s="11"/>
      <c r="AV849" s="11"/>
      <c r="AW849" s="11"/>
      <c r="AX849" s="11"/>
      <c r="AY849" s="11"/>
      <c r="AZ849" s="11"/>
    </row>
    <row r="850" ht="15.75" customHeight="1">
      <c r="A850" s="12"/>
      <c r="B850" s="13"/>
      <c r="C850" s="14"/>
      <c r="D850" s="15"/>
      <c r="E850" s="15"/>
      <c r="F850" s="15"/>
      <c r="G850" s="15"/>
      <c r="H850" s="15"/>
      <c r="I850" s="15"/>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8"/>
      <c r="AL850" s="9"/>
      <c r="AM850" s="9"/>
      <c r="AN850" s="11"/>
      <c r="AO850" s="11"/>
      <c r="AP850" s="11"/>
      <c r="AQ850" s="11"/>
      <c r="AR850" s="11"/>
      <c r="AS850" s="11"/>
      <c r="AT850" s="11"/>
      <c r="AU850" s="11"/>
      <c r="AV850" s="11"/>
      <c r="AW850" s="11"/>
      <c r="AX850" s="11"/>
      <c r="AY850" s="11"/>
      <c r="AZ850" s="11"/>
    </row>
    <row r="851" ht="15.75" customHeight="1">
      <c r="A851" s="12"/>
      <c r="B851" s="13"/>
      <c r="C851" s="14"/>
      <c r="D851" s="15"/>
      <c r="E851" s="15"/>
      <c r="F851" s="15"/>
      <c r="G851" s="15"/>
      <c r="H851" s="15"/>
      <c r="I851" s="15"/>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8"/>
      <c r="AL851" s="9"/>
      <c r="AM851" s="9"/>
      <c r="AN851" s="11"/>
      <c r="AO851" s="11"/>
      <c r="AP851" s="11"/>
      <c r="AQ851" s="11"/>
      <c r="AR851" s="11"/>
      <c r="AS851" s="11"/>
      <c r="AT851" s="11"/>
      <c r="AU851" s="11"/>
      <c r="AV851" s="11"/>
      <c r="AW851" s="11"/>
      <c r="AX851" s="11"/>
      <c r="AY851" s="11"/>
      <c r="AZ851" s="11"/>
    </row>
    <row r="852" ht="15.75" customHeight="1">
      <c r="A852" s="12"/>
      <c r="B852" s="13"/>
      <c r="C852" s="14"/>
      <c r="D852" s="15"/>
      <c r="E852" s="15"/>
      <c r="F852" s="15"/>
      <c r="G852" s="15"/>
      <c r="H852" s="15"/>
      <c r="I852" s="15"/>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8"/>
      <c r="AL852" s="9"/>
      <c r="AM852" s="9"/>
      <c r="AN852" s="11"/>
      <c r="AO852" s="11"/>
      <c r="AP852" s="11"/>
      <c r="AQ852" s="11"/>
      <c r="AR852" s="11"/>
      <c r="AS852" s="11"/>
      <c r="AT852" s="11"/>
      <c r="AU852" s="11"/>
      <c r="AV852" s="11"/>
      <c r="AW852" s="11"/>
      <c r="AX852" s="11"/>
      <c r="AY852" s="11"/>
      <c r="AZ852" s="11"/>
    </row>
    <row r="853" ht="15.75" customHeight="1">
      <c r="A853" s="12"/>
      <c r="B853" s="13"/>
      <c r="C853" s="14"/>
      <c r="D853" s="15"/>
      <c r="E853" s="15"/>
      <c r="F853" s="15"/>
      <c r="G853" s="15"/>
      <c r="H853" s="15"/>
      <c r="I853" s="15"/>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8"/>
      <c r="AL853" s="9"/>
      <c r="AM853" s="9"/>
      <c r="AN853" s="11"/>
      <c r="AO853" s="11"/>
      <c r="AP853" s="11"/>
      <c r="AQ853" s="11"/>
      <c r="AR853" s="11"/>
      <c r="AS853" s="11"/>
      <c r="AT853" s="11"/>
      <c r="AU853" s="11"/>
      <c r="AV853" s="11"/>
      <c r="AW853" s="11"/>
      <c r="AX853" s="11"/>
      <c r="AY853" s="11"/>
      <c r="AZ853" s="11"/>
    </row>
    <row r="854" ht="15.75" customHeight="1">
      <c r="A854" s="12"/>
      <c r="B854" s="13"/>
      <c r="C854" s="14"/>
      <c r="D854" s="15"/>
      <c r="E854" s="15"/>
      <c r="F854" s="15"/>
      <c r="G854" s="15"/>
      <c r="H854" s="15"/>
      <c r="I854" s="15"/>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8"/>
      <c r="AL854" s="9"/>
      <c r="AM854" s="9"/>
      <c r="AN854" s="11"/>
      <c r="AO854" s="11"/>
      <c r="AP854" s="11"/>
      <c r="AQ854" s="11"/>
      <c r="AR854" s="11"/>
      <c r="AS854" s="11"/>
      <c r="AT854" s="11"/>
      <c r="AU854" s="11"/>
      <c r="AV854" s="11"/>
      <c r="AW854" s="11"/>
      <c r="AX854" s="11"/>
      <c r="AY854" s="11"/>
      <c r="AZ854" s="11"/>
    </row>
    <row r="855" ht="15.75" customHeight="1">
      <c r="A855" s="12"/>
      <c r="B855" s="13"/>
      <c r="C855" s="14"/>
      <c r="D855" s="15"/>
      <c r="E855" s="15"/>
      <c r="F855" s="15"/>
      <c r="G855" s="15"/>
      <c r="H855" s="15"/>
      <c r="I855" s="15"/>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8"/>
      <c r="AL855" s="9"/>
      <c r="AM855" s="9"/>
      <c r="AN855" s="11"/>
      <c r="AO855" s="11"/>
      <c r="AP855" s="11"/>
      <c r="AQ855" s="11"/>
      <c r="AR855" s="11"/>
      <c r="AS855" s="11"/>
      <c r="AT855" s="11"/>
      <c r="AU855" s="11"/>
      <c r="AV855" s="11"/>
      <c r="AW855" s="11"/>
      <c r="AX855" s="11"/>
      <c r="AY855" s="11"/>
      <c r="AZ855" s="11"/>
    </row>
    <row r="856" ht="15.75" customHeight="1">
      <c r="A856" s="12"/>
      <c r="B856" s="13"/>
      <c r="C856" s="14"/>
      <c r="D856" s="15"/>
      <c r="E856" s="15"/>
      <c r="F856" s="15"/>
      <c r="G856" s="15"/>
      <c r="H856" s="15"/>
      <c r="I856" s="15"/>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8"/>
      <c r="AL856" s="9"/>
      <c r="AM856" s="9"/>
      <c r="AN856" s="11"/>
      <c r="AO856" s="11"/>
      <c r="AP856" s="11"/>
      <c r="AQ856" s="11"/>
      <c r="AR856" s="11"/>
      <c r="AS856" s="11"/>
      <c r="AT856" s="11"/>
      <c r="AU856" s="11"/>
      <c r="AV856" s="11"/>
      <c r="AW856" s="11"/>
      <c r="AX856" s="11"/>
      <c r="AY856" s="11"/>
      <c r="AZ856" s="11"/>
    </row>
    <row r="857" ht="15.75" customHeight="1">
      <c r="A857" s="12"/>
      <c r="B857" s="13"/>
      <c r="C857" s="14"/>
      <c r="D857" s="15"/>
      <c r="E857" s="15"/>
      <c r="F857" s="15"/>
      <c r="G857" s="15"/>
      <c r="H857" s="15"/>
      <c r="I857" s="15"/>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8"/>
      <c r="AL857" s="9"/>
      <c r="AM857" s="9"/>
      <c r="AN857" s="11"/>
      <c r="AO857" s="11"/>
      <c r="AP857" s="11"/>
      <c r="AQ857" s="11"/>
      <c r="AR857" s="11"/>
      <c r="AS857" s="11"/>
      <c r="AT857" s="11"/>
      <c r="AU857" s="11"/>
      <c r="AV857" s="11"/>
      <c r="AW857" s="11"/>
      <c r="AX857" s="11"/>
      <c r="AY857" s="11"/>
      <c r="AZ857" s="11"/>
    </row>
    <row r="858" ht="15.75" customHeight="1">
      <c r="A858" s="12"/>
      <c r="B858" s="13"/>
      <c r="C858" s="14"/>
      <c r="D858" s="15"/>
      <c r="E858" s="15"/>
      <c r="F858" s="15"/>
      <c r="G858" s="15"/>
      <c r="H858" s="15"/>
      <c r="I858" s="15"/>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8"/>
      <c r="AL858" s="9"/>
      <c r="AM858" s="9"/>
      <c r="AN858" s="11"/>
      <c r="AO858" s="11"/>
      <c r="AP858" s="11"/>
      <c r="AQ858" s="11"/>
      <c r="AR858" s="11"/>
      <c r="AS858" s="11"/>
      <c r="AT858" s="11"/>
      <c r="AU858" s="11"/>
      <c r="AV858" s="11"/>
      <c r="AW858" s="11"/>
      <c r="AX858" s="11"/>
      <c r="AY858" s="11"/>
      <c r="AZ858" s="11"/>
    </row>
    <row r="859" ht="15.75" customHeight="1">
      <c r="A859" s="12"/>
      <c r="B859" s="13"/>
      <c r="C859" s="14"/>
      <c r="D859" s="15"/>
      <c r="E859" s="15"/>
      <c r="F859" s="15"/>
      <c r="G859" s="15"/>
      <c r="H859" s="15"/>
      <c r="I859" s="15"/>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8"/>
      <c r="AL859" s="9"/>
      <c r="AM859" s="9"/>
      <c r="AN859" s="11"/>
      <c r="AO859" s="11"/>
      <c r="AP859" s="11"/>
      <c r="AQ859" s="11"/>
      <c r="AR859" s="11"/>
      <c r="AS859" s="11"/>
      <c r="AT859" s="11"/>
      <c r="AU859" s="11"/>
      <c r="AV859" s="11"/>
      <c r="AW859" s="11"/>
      <c r="AX859" s="11"/>
      <c r="AY859" s="11"/>
      <c r="AZ859" s="11"/>
    </row>
    <row r="860" ht="15.75" customHeight="1">
      <c r="A860" s="12"/>
      <c r="B860" s="13"/>
      <c r="C860" s="14"/>
      <c r="D860" s="15"/>
      <c r="E860" s="15"/>
      <c r="F860" s="15"/>
      <c r="G860" s="15"/>
      <c r="H860" s="15"/>
      <c r="I860" s="15"/>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8"/>
      <c r="AL860" s="9"/>
      <c r="AM860" s="9"/>
      <c r="AN860" s="11"/>
      <c r="AO860" s="11"/>
      <c r="AP860" s="11"/>
      <c r="AQ860" s="11"/>
      <c r="AR860" s="11"/>
      <c r="AS860" s="11"/>
      <c r="AT860" s="11"/>
      <c r="AU860" s="11"/>
      <c r="AV860" s="11"/>
      <c r="AW860" s="11"/>
      <c r="AX860" s="11"/>
      <c r="AY860" s="11"/>
      <c r="AZ860" s="11"/>
    </row>
    <row r="861" ht="15.75" customHeight="1">
      <c r="A861" s="12"/>
      <c r="B861" s="13"/>
      <c r="C861" s="14"/>
      <c r="D861" s="15"/>
      <c r="E861" s="15"/>
      <c r="F861" s="15"/>
      <c r="G861" s="15"/>
      <c r="H861" s="15"/>
      <c r="I861" s="15"/>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8"/>
      <c r="AL861" s="9"/>
      <c r="AM861" s="9"/>
      <c r="AN861" s="11"/>
      <c r="AO861" s="11"/>
      <c r="AP861" s="11"/>
      <c r="AQ861" s="11"/>
      <c r="AR861" s="11"/>
      <c r="AS861" s="11"/>
      <c r="AT861" s="11"/>
      <c r="AU861" s="11"/>
      <c r="AV861" s="11"/>
      <c r="AW861" s="11"/>
      <c r="AX861" s="11"/>
      <c r="AY861" s="11"/>
      <c r="AZ861" s="11"/>
    </row>
    <row r="862" ht="15.75" customHeight="1">
      <c r="A862" s="12"/>
      <c r="B862" s="13"/>
      <c r="C862" s="14"/>
      <c r="D862" s="15"/>
      <c r="E862" s="15"/>
      <c r="F862" s="15"/>
      <c r="G862" s="15"/>
      <c r="H862" s="15"/>
      <c r="I862" s="15"/>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8"/>
      <c r="AL862" s="9"/>
      <c r="AM862" s="9"/>
      <c r="AN862" s="11"/>
      <c r="AO862" s="11"/>
      <c r="AP862" s="11"/>
      <c r="AQ862" s="11"/>
      <c r="AR862" s="11"/>
      <c r="AS862" s="11"/>
      <c r="AT862" s="11"/>
      <c r="AU862" s="11"/>
      <c r="AV862" s="11"/>
      <c r="AW862" s="11"/>
      <c r="AX862" s="11"/>
      <c r="AY862" s="11"/>
      <c r="AZ862" s="11"/>
    </row>
    <row r="863" ht="15.75" customHeight="1">
      <c r="A863" s="12"/>
      <c r="B863" s="13"/>
      <c r="C863" s="14"/>
      <c r="D863" s="15"/>
      <c r="E863" s="15"/>
      <c r="F863" s="15"/>
      <c r="G863" s="15"/>
      <c r="H863" s="15"/>
      <c r="I863" s="15"/>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8"/>
      <c r="AL863" s="9"/>
      <c r="AM863" s="9"/>
      <c r="AN863" s="11"/>
      <c r="AO863" s="11"/>
      <c r="AP863" s="11"/>
      <c r="AQ863" s="11"/>
      <c r="AR863" s="11"/>
      <c r="AS863" s="11"/>
      <c r="AT863" s="11"/>
      <c r="AU863" s="11"/>
      <c r="AV863" s="11"/>
      <c r="AW863" s="11"/>
      <c r="AX863" s="11"/>
      <c r="AY863" s="11"/>
      <c r="AZ863" s="11"/>
    </row>
    <row r="864" ht="15.75" customHeight="1">
      <c r="A864" s="12"/>
      <c r="B864" s="13"/>
      <c r="C864" s="14"/>
      <c r="D864" s="15"/>
      <c r="E864" s="15"/>
      <c r="F864" s="15"/>
      <c r="G864" s="15"/>
      <c r="H864" s="15"/>
      <c r="I864" s="15"/>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8"/>
      <c r="AL864" s="9"/>
      <c r="AM864" s="9"/>
      <c r="AN864" s="11"/>
      <c r="AO864" s="11"/>
      <c r="AP864" s="11"/>
      <c r="AQ864" s="11"/>
      <c r="AR864" s="11"/>
      <c r="AS864" s="11"/>
      <c r="AT864" s="11"/>
      <c r="AU864" s="11"/>
      <c r="AV864" s="11"/>
      <c r="AW864" s="11"/>
      <c r="AX864" s="11"/>
      <c r="AY864" s="11"/>
      <c r="AZ864" s="11"/>
    </row>
    <row r="865" ht="15.75" customHeight="1">
      <c r="A865" s="12"/>
      <c r="B865" s="13"/>
      <c r="C865" s="14"/>
      <c r="D865" s="15"/>
      <c r="E865" s="15"/>
      <c r="F865" s="15"/>
      <c r="G865" s="15"/>
      <c r="H865" s="15"/>
      <c r="I865" s="15"/>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8"/>
      <c r="AL865" s="9"/>
      <c r="AM865" s="9"/>
      <c r="AN865" s="11"/>
      <c r="AO865" s="11"/>
      <c r="AP865" s="11"/>
      <c r="AQ865" s="11"/>
      <c r="AR865" s="11"/>
      <c r="AS865" s="11"/>
      <c r="AT865" s="11"/>
      <c r="AU865" s="11"/>
      <c r="AV865" s="11"/>
      <c r="AW865" s="11"/>
      <c r="AX865" s="11"/>
      <c r="AY865" s="11"/>
      <c r="AZ865" s="11"/>
    </row>
    <row r="866" ht="15.75" customHeight="1">
      <c r="A866" s="12"/>
      <c r="B866" s="13"/>
      <c r="C866" s="14"/>
      <c r="D866" s="15"/>
      <c r="E866" s="15"/>
      <c r="F866" s="15"/>
      <c r="G866" s="15"/>
      <c r="H866" s="15"/>
      <c r="I866" s="15"/>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8"/>
      <c r="AL866" s="9"/>
      <c r="AM866" s="9"/>
      <c r="AN866" s="11"/>
      <c r="AO866" s="11"/>
      <c r="AP866" s="11"/>
      <c r="AQ866" s="11"/>
      <c r="AR866" s="11"/>
      <c r="AS866" s="11"/>
      <c r="AT866" s="11"/>
      <c r="AU866" s="11"/>
      <c r="AV866" s="11"/>
      <c r="AW866" s="11"/>
      <c r="AX866" s="11"/>
      <c r="AY866" s="11"/>
      <c r="AZ866" s="11"/>
    </row>
    <row r="867" ht="15.75" customHeight="1">
      <c r="A867" s="12"/>
      <c r="B867" s="13"/>
      <c r="C867" s="14"/>
      <c r="D867" s="15"/>
      <c r="E867" s="15"/>
      <c r="F867" s="15"/>
      <c r="G867" s="15"/>
      <c r="H867" s="15"/>
      <c r="I867" s="15"/>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8"/>
      <c r="AL867" s="9"/>
      <c r="AM867" s="9"/>
      <c r="AN867" s="11"/>
      <c r="AO867" s="11"/>
      <c r="AP867" s="11"/>
      <c r="AQ867" s="11"/>
      <c r="AR867" s="11"/>
      <c r="AS867" s="11"/>
      <c r="AT867" s="11"/>
      <c r="AU867" s="11"/>
      <c r="AV867" s="11"/>
      <c r="AW867" s="11"/>
      <c r="AX867" s="11"/>
      <c r="AY867" s="11"/>
      <c r="AZ867" s="11"/>
    </row>
    <row r="868" ht="15.75" customHeight="1">
      <c r="A868" s="12"/>
      <c r="B868" s="13"/>
      <c r="C868" s="14"/>
      <c r="D868" s="15"/>
      <c r="E868" s="15"/>
      <c r="F868" s="15"/>
      <c r="G868" s="15"/>
      <c r="H868" s="15"/>
      <c r="I868" s="15"/>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8"/>
      <c r="AL868" s="9"/>
      <c r="AM868" s="9"/>
      <c r="AN868" s="11"/>
      <c r="AO868" s="11"/>
      <c r="AP868" s="11"/>
      <c r="AQ868" s="11"/>
      <c r="AR868" s="11"/>
      <c r="AS868" s="11"/>
      <c r="AT868" s="11"/>
      <c r="AU868" s="11"/>
      <c r="AV868" s="11"/>
      <c r="AW868" s="11"/>
      <c r="AX868" s="11"/>
      <c r="AY868" s="11"/>
      <c r="AZ868" s="11"/>
    </row>
    <row r="869" ht="15.75" customHeight="1">
      <c r="A869" s="12"/>
      <c r="B869" s="13"/>
      <c r="C869" s="14"/>
      <c r="D869" s="15"/>
      <c r="E869" s="15"/>
      <c r="F869" s="15"/>
      <c r="G869" s="15"/>
      <c r="H869" s="15"/>
      <c r="I869" s="15"/>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8"/>
      <c r="AL869" s="9"/>
      <c r="AM869" s="9"/>
      <c r="AN869" s="11"/>
      <c r="AO869" s="11"/>
      <c r="AP869" s="11"/>
      <c r="AQ869" s="11"/>
      <c r="AR869" s="11"/>
      <c r="AS869" s="11"/>
      <c r="AT869" s="11"/>
      <c r="AU869" s="11"/>
      <c r="AV869" s="11"/>
      <c r="AW869" s="11"/>
      <c r="AX869" s="11"/>
      <c r="AY869" s="11"/>
      <c r="AZ869" s="11"/>
    </row>
    <row r="870" ht="15.75" customHeight="1">
      <c r="A870" s="12"/>
      <c r="B870" s="13"/>
      <c r="C870" s="14"/>
      <c r="D870" s="15"/>
      <c r="E870" s="15"/>
      <c r="F870" s="15"/>
      <c r="G870" s="15"/>
      <c r="H870" s="15"/>
      <c r="I870" s="15"/>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8"/>
      <c r="AL870" s="9"/>
      <c r="AM870" s="9"/>
      <c r="AN870" s="11"/>
      <c r="AO870" s="11"/>
      <c r="AP870" s="11"/>
      <c r="AQ870" s="11"/>
      <c r="AR870" s="11"/>
      <c r="AS870" s="11"/>
      <c r="AT870" s="11"/>
      <c r="AU870" s="11"/>
      <c r="AV870" s="11"/>
      <c r="AW870" s="11"/>
      <c r="AX870" s="11"/>
      <c r="AY870" s="11"/>
      <c r="AZ870" s="11"/>
    </row>
    <row r="871" ht="15.75" customHeight="1">
      <c r="A871" s="12"/>
      <c r="B871" s="13"/>
      <c r="C871" s="14"/>
      <c r="D871" s="15"/>
      <c r="E871" s="15"/>
      <c r="F871" s="15"/>
      <c r="G871" s="15"/>
      <c r="H871" s="15"/>
      <c r="I871" s="15"/>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8"/>
      <c r="AL871" s="9"/>
      <c r="AM871" s="9"/>
      <c r="AN871" s="11"/>
      <c r="AO871" s="11"/>
      <c r="AP871" s="11"/>
      <c r="AQ871" s="11"/>
      <c r="AR871" s="11"/>
      <c r="AS871" s="11"/>
      <c r="AT871" s="11"/>
      <c r="AU871" s="11"/>
      <c r="AV871" s="11"/>
      <c r="AW871" s="11"/>
      <c r="AX871" s="11"/>
      <c r="AY871" s="11"/>
      <c r="AZ871" s="11"/>
    </row>
    <row r="872" ht="15.75" customHeight="1">
      <c r="A872" s="12"/>
      <c r="B872" s="13"/>
      <c r="C872" s="14"/>
      <c r="D872" s="15"/>
      <c r="E872" s="15"/>
      <c r="F872" s="15"/>
      <c r="G872" s="15"/>
      <c r="H872" s="15"/>
      <c r="I872" s="15"/>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8"/>
      <c r="AL872" s="9"/>
      <c r="AM872" s="9"/>
      <c r="AN872" s="11"/>
      <c r="AO872" s="11"/>
      <c r="AP872" s="11"/>
      <c r="AQ872" s="11"/>
      <c r="AR872" s="11"/>
      <c r="AS872" s="11"/>
      <c r="AT872" s="11"/>
      <c r="AU872" s="11"/>
      <c r="AV872" s="11"/>
      <c r="AW872" s="11"/>
      <c r="AX872" s="11"/>
      <c r="AY872" s="11"/>
      <c r="AZ872" s="11"/>
    </row>
    <row r="873" ht="15.75" customHeight="1">
      <c r="A873" s="12"/>
      <c r="B873" s="13"/>
      <c r="C873" s="14"/>
      <c r="D873" s="15"/>
      <c r="E873" s="15"/>
      <c r="F873" s="15"/>
      <c r="G873" s="15"/>
      <c r="H873" s="15"/>
      <c r="I873" s="15"/>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8"/>
      <c r="AL873" s="9"/>
      <c r="AM873" s="9"/>
      <c r="AN873" s="11"/>
      <c r="AO873" s="11"/>
      <c r="AP873" s="11"/>
      <c r="AQ873" s="11"/>
      <c r="AR873" s="11"/>
      <c r="AS873" s="11"/>
      <c r="AT873" s="11"/>
      <c r="AU873" s="11"/>
      <c r="AV873" s="11"/>
      <c r="AW873" s="11"/>
      <c r="AX873" s="11"/>
      <c r="AY873" s="11"/>
      <c r="AZ873" s="11"/>
    </row>
    <row r="874" ht="15.75" customHeight="1">
      <c r="A874" s="12"/>
      <c r="B874" s="13"/>
      <c r="C874" s="14"/>
      <c r="D874" s="15"/>
      <c r="E874" s="15"/>
      <c r="F874" s="15"/>
      <c r="G874" s="15"/>
      <c r="H874" s="15"/>
      <c r="I874" s="15"/>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8"/>
      <c r="AL874" s="9"/>
      <c r="AM874" s="9"/>
      <c r="AN874" s="11"/>
      <c r="AO874" s="11"/>
      <c r="AP874" s="11"/>
      <c r="AQ874" s="11"/>
      <c r="AR874" s="11"/>
      <c r="AS874" s="11"/>
      <c r="AT874" s="11"/>
      <c r="AU874" s="11"/>
      <c r="AV874" s="11"/>
      <c r="AW874" s="11"/>
      <c r="AX874" s="11"/>
      <c r="AY874" s="11"/>
      <c r="AZ874" s="11"/>
    </row>
    <row r="875" ht="15.75" customHeight="1">
      <c r="A875" s="12"/>
      <c r="B875" s="13"/>
      <c r="C875" s="14"/>
      <c r="D875" s="15"/>
      <c r="E875" s="15"/>
      <c r="F875" s="15"/>
      <c r="G875" s="15"/>
      <c r="H875" s="15"/>
      <c r="I875" s="15"/>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8"/>
      <c r="AL875" s="9"/>
      <c r="AM875" s="9"/>
      <c r="AN875" s="11"/>
      <c r="AO875" s="11"/>
      <c r="AP875" s="11"/>
      <c r="AQ875" s="11"/>
      <c r="AR875" s="11"/>
      <c r="AS875" s="11"/>
      <c r="AT875" s="11"/>
      <c r="AU875" s="11"/>
      <c r="AV875" s="11"/>
      <c r="AW875" s="11"/>
      <c r="AX875" s="11"/>
      <c r="AY875" s="11"/>
      <c r="AZ875" s="11"/>
    </row>
    <row r="876" ht="15.75" customHeight="1">
      <c r="A876" s="12"/>
      <c r="B876" s="13"/>
      <c r="C876" s="14"/>
      <c r="D876" s="15"/>
      <c r="E876" s="15"/>
      <c r="F876" s="15"/>
      <c r="G876" s="15"/>
      <c r="H876" s="15"/>
      <c r="I876" s="15"/>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8"/>
      <c r="AL876" s="9"/>
      <c r="AM876" s="9"/>
      <c r="AN876" s="11"/>
      <c r="AO876" s="11"/>
      <c r="AP876" s="11"/>
      <c r="AQ876" s="11"/>
      <c r="AR876" s="11"/>
      <c r="AS876" s="11"/>
      <c r="AT876" s="11"/>
      <c r="AU876" s="11"/>
      <c r="AV876" s="11"/>
      <c r="AW876" s="11"/>
      <c r="AX876" s="11"/>
      <c r="AY876" s="11"/>
      <c r="AZ876" s="11"/>
    </row>
    <row r="877" ht="15.75" customHeight="1">
      <c r="A877" s="12"/>
      <c r="B877" s="13"/>
      <c r="C877" s="14"/>
      <c r="D877" s="15"/>
      <c r="E877" s="15"/>
      <c r="F877" s="15"/>
      <c r="G877" s="15"/>
      <c r="H877" s="15"/>
      <c r="I877" s="15"/>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8"/>
      <c r="AL877" s="9"/>
      <c r="AM877" s="9"/>
      <c r="AN877" s="11"/>
      <c r="AO877" s="11"/>
      <c r="AP877" s="11"/>
      <c r="AQ877" s="11"/>
      <c r="AR877" s="11"/>
      <c r="AS877" s="11"/>
      <c r="AT877" s="11"/>
      <c r="AU877" s="11"/>
      <c r="AV877" s="11"/>
      <c r="AW877" s="11"/>
      <c r="AX877" s="11"/>
      <c r="AY877" s="11"/>
      <c r="AZ877" s="11"/>
    </row>
    <row r="878" ht="15.75" customHeight="1">
      <c r="A878" s="12"/>
      <c r="B878" s="13"/>
      <c r="C878" s="14"/>
      <c r="D878" s="15"/>
      <c r="E878" s="15"/>
      <c r="F878" s="15"/>
      <c r="G878" s="15"/>
      <c r="H878" s="15"/>
      <c r="I878" s="15"/>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8"/>
      <c r="AL878" s="9"/>
      <c r="AM878" s="9"/>
      <c r="AN878" s="11"/>
      <c r="AO878" s="11"/>
      <c r="AP878" s="11"/>
      <c r="AQ878" s="11"/>
      <c r="AR878" s="11"/>
      <c r="AS878" s="11"/>
      <c r="AT878" s="11"/>
      <c r="AU878" s="11"/>
      <c r="AV878" s="11"/>
      <c r="AW878" s="11"/>
      <c r="AX878" s="11"/>
      <c r="AY878" s="11"/>
      <c r="AZ878" s="11"/>
    </row>
    <row r="879" ht="15.75" customHeight="1">
      <c r="A879" s="12"/>
      <c r="B879" s="13"/>
      <c r="C879" s="14"/>
      <c r="D879" s="15"/>
      <c r="E879" s="15"/>
      <c r="F879" s="15"/>
      <c r="G879" s="15"/>
      <c r="H879" s="15"/>
      <c r="I879" s="15"/>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8"/>
      <c r="AL879" s="9"/>
      <c r="AM879" s="9"/>
      <c r="AN879" s="11"/>
      <c r="AO879" s="11"/>
      <c r="AP879" s="11"/>
      <c r="AQ879" s="11"/>
      <c r="AR879" s="11"/>
      <c r="AS879" s="11"/>
      <c r="AT879" s="11"/>
      <c r="AU879" s="11"/>
      <c r="AV879" s="11"/>
      <c r="AW879" s="11"/>
      <c r="AX879" s="11"/>
      <c r="AY879" s="11"/>
      <c r="AZ879" s="11"/>
    </row>
    <row r="880" ht="15.75" customHeight="1">
      <c r="A880" s="12"/>
      <c r="B880" s="13"/>
      <c r="C880" s="14"/>
      <c r="D880" s="15"/>
      <c r="E880" s="15"/>
      <c r="F880" s="15"/>
      <c r="G880" s="15"/>
      <c r="H880" s="15"/>
      <c r="I880" s="15"/>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8"/>
      <c r="AL880" s="9"/>
      <c r="AM880" s="9"/>
      <c r="AN880" s="11"/>
      <c r="AO880" s="11"/>
      <c r="AP880" s="11"/>
      <c r="AQ880" s="11"/>
      <c r="AR880" s="11"/>
      <c r="AS880" s="11"/>
      <c r="AT880" s="11"/>
      <c r="AU880" s="11"/>
      <c r="AV880" s="11"/>
      <c r="AW880" s="11"/>
      <c r="AX880" s="11"/>
      <c r="AY880" s="11"/>
      <c r="AZ880" s="11"/>
    </row>
    <row r="881" ht="15.75" customHeight="1">
      <c r="A881" s="12"/>
      <c r="B881" s="13"/>
      <c r="C881" s="14"/>
      <c r="D881" s="15"/>
      <c r="E881" s="15"/>
      <c r="F881" s="15"/>
      <c r="G881" s="15"/>
      <c r="H881" s="15"/>
      <c r="I881" s="15"/>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8"/>
      <c r="AL881" s="9"/>
      <c r="AM881" s="9"/>
      <c r="AN881" s="11"/>
      <c r="AO881" s="11"/>
      <c r="AP881" s="11"/>
      <c r="AQ881" s="11"/>
      <c r="AR881" s="11"/>
      <c r="AS881" s="11"/>
      <c r="AT881" s="11"/>
      <c r="AU881" s="11"/>
      <c r="AV881" s="11"/>
      <c r="AW881" s="11"/>
      <c r="AX881" s="11"/>
      <c r="AY881" s="11"/>
      <c r="AZ881" s="11"/>
    </row>
    <row r="882" ht="15.75" customHeight="1">
      <c r="A882" s="12"/>
      <c r="B882" s="13"/>
      <c r="C882" s="14"/>
      <c r="D882" s="15"/>
      <c r="E882" s="15"/>
      <c r="F882" s="15"/>
      <c r="G882" s="15"/>
      <c r="H882" s="15"/>
      <c r="I882" s="15"/>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8"/>
      <c r="AL882" s="9"/>
      <c r="AM882" s="9"/>
      <c r="AN882" s="11"/>
      <c r="AO882" s="11"/>
      <c r="AP882" s="11"/>
      <c r="AQ882" s="11"/>
      <c r="AR882" s="11"/>
      <c r="AS882" s="11"/>
      <c r="AT882" s="11"/>
      <c r="AU882" s="11"/>
      <c r="AV882" s="11"/>
      <c r="AW882" s="11"/>
      <c r="AX882" s="11"/>
      <c r="AY882" s="11"/>
      <c r="AZ882" s="11"/>
    </row>
    <row r="883" ht="15.75" customHeight="1">
      <c r="A883" s="12"/>
      <c r="B883" s="13"/>
      <c r="C883" s="14"/>
      <c r="D883" s="15"/>
      <c r="E883" s="15"/>
      <c r="F883" s="15"/>
      <c r="G883" s="15"/>
      <c r="H883" s="15"/>
      <c r="I883" s="15"/>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8"/>
      <c r="AL883" s="9"/>
      <c r="AM883" s="9"/>
      <c r="AN883" s="11"/>
      <c r="AO883" s="11"/>
      <c r="AP883" s="11"/>
      <c r="AQ883" s="11"/>
      <c r="AR883" s="11"/>
      <c r="AS883" s="11"/>
      <c r="AT883" s="11"/>
      <c r="AU883" s="11"/>
      <c r="AV883" s="11"/>
      <c r="AW883" s="11"/>
      <c r="AX883" s="11"/>
      <c r="AY883" s="11"/>
      <c r="AZ883" s="11"/>
    </row>
    <row r="884" ht="15.75" customHeight="1">
      <c r="A884" s="12"/>
      <c r="B884" s="13"/>
      <c r="C884" s="14"/>
      <c r="D884" s="15"/>
      <c r="E884" s="15"/>
      <c r="F884" s="15"/>
      <c r="G884" s="15"/>
      <c r="H884" s="15"/>
      <c r="I884" s="15"/>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8"/>
      <c r="AL884" s="9"/>
      <c r="AM884" s="9"/>
      <c r="AN884" s="11"/>
      <c r="AO884" s="11"/>
      <c r="AP884" s="11"/>
      <c r="AQ884" s="11"/>
      <c r="AR884" s="11"/>
      <c r="AS884" s="11"/>
      <c r="AT884" s="11"/>
      <c r="AU884" s="11"/>
      <c r="AV884" s="11"/>
      <c r="AW884" s="11"/>
      <c r="AX884" s="11"/>
      <c r="AY884" s="11"/>
      <c r="AZ884" s="11"/>
    </row>
    <row r="885" ht="15.75" customHeight="1">
      <c r="A885" s="12"/>
      <c r="B885" s="13"/>
      <c r="C885" s="14"/>
      <c r="D885" s="15"/>
      <c r="E885" s="15"/>
      <c r="F885" s="15"/>
      <c r="G885" s="15"/>
      <c r="H885" s="15"/>
      <c r="I885" s="15"/>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8"/>
      <c r="AL885" s="9"/>
      <c r="AM885" s="9"/>
      <c r="AN885" s="11"/>
      <c r="AO885" s="11"/>
      <c r="AP885" s="11"/>
      <c r="AQ885" s="11"/>
      <c r="AR885" s="11"/>
      <c r="AS885" s="11"/>
      <c r="AT885" s="11"/>
      <c r="AU885" s="11"/>
      <c r="AV885" s="11"/>
      <c r="AW885" s="11"/>
      <c r="AX885" s="11"/>
      <c r="AY885" s="11"/>
      <c r="AZ885" s="11"/>
    </row>
    <row r="886" ht="15.75" customHeight="1">
      <c r="A886" s="12"/>
      <c r="B886" s="13"/>
      <c r="C886" s="14"/>
      <c r="D886" s="15"/>
      <c r="E886" s="15"/>
      <c r="F886" s="15"/>
      <c r="G886" s="15"/>
      <c r="H886" s="15"/>
      <c r="I886" s="15"/>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8"/>
      <c r="AL886" s="9"/>
      <c r="AM886" s="9"/>
      <c r="AN886" s="11"/>
      <c r="AO886" s="11"/>
      <c r="AP886" s="11"/>
      <c r="AQ886" s="11"/>
      <c r="AR886" s="11"/>
      <c r="AS886" s="11"/>
      <c r="AT886" s="11"/>
      <c r="AU886" s="11"/>
      <c r="AV886" s="11"/>
      <c r="AW886" s="11"/>
      <c r="AX886" s="11"/>
      <c r="AY886" s="11"/>
      <c r="AZ886" s="11"/>
    </row>
    <row r="887" ht="15.75" customHeight="1">
      <c r="A887" s="12"/>
      <c r="B887" s="13"/>
      <c r="C887" s="14"/>
      <c r="D887" s="15"/>
      <c r="E887" s="15"/>
      <c r="F887" s="15"/>
      <c r="G887" s="15"/>
      <c r="H887" s="15"/>
      <c r="I887" s="15"/>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8"/>
      <c r="AL887" s="9"/>
      <c r="AM887" s="9"/>
      <c r="AN887" s="11"/>
      <c r="AO887" s="11"/>
      <c r="AP887" s="11"/>
      <c r="AQ887" s="11"/>
      <c r="AR887" s="11"/>
      <c r="AS887" s="11"/>
      <c r="AT887" s="11"/>
      <c r="AU887" s="11"/>
      <c r="AV887" s="11"/>
      <c r="AW887" s="11"/>
      <c r="AX887" s="11"/>
      <c r="AY887" s="11"/>
      <c r="AZ887" s="11"/>
    </row>
    <row r="888" ht="15.75" customHeight="1">
      <c r="A888" s="12"/>
      <c r="B888" s="13"/>
      <c r="C888" s="14"/>
      <c r="D888" s="15"/>
      <c r="E888" s="15"/>
      <c r="F888" s="15"/>
      <c r="G888" s="15"/>
      <c r="H888" s="15"/>
      <c r="I888" s="15"/>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8"/>
      <c r="AL888" s="9"/>
      <c r="AM888" s="9"/>
      <c r="AN888" s="11"/>
      <c r="AO888" s="11"/>
      <c r="AP888" s="11"/>
      <c r="AQ888" s="11"/>
      <c r="AR888" s="11"/>
      <c r="AS888" s="11"/>
      <c r="AT888" s="11"/>
      <c r="AU888" s="11"/>
      <c r="AV888" s="11"/>
      <c r="AW888" s="11"/>
      <c r="AX888" s="11"/>
      <c r="AY888" s="11"/>
      <c r="AZ888" s="11"/>
    </row>
    <row r="889" ht="15.75" customHeight="1">
      <c r="A889" s="12"/>
      <c r="B889" s="13"/>
      <c r="C889" s="14"/>
      <c r="D889" s="15"/>
      <c r="E889" s="15"/>
      <c r="F889" s="15"/>
      <c r="G889" s="15"/>
      <c r="H889" s="15"/>
      <c r="I889" s="15"/>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8"/>
      <c r="AL889" s="9"/>
      <c r="AM889" s="9"/>
      <c r="AN889" s="11"/>
      <c r="AO889" s="11"/>
      <c r="AP889" s="11"/>
      <c r="AQ889" s="11"/>
      <c r="AR889" s="11"/>
      <c r="AS889" s="11"/>
      <c r="AT889" s="11"/>
      <c r="AU889" s="11"/>
      <c r="AV889" s="11"/>
      <c r="AW889" s="11"/>
      <c r="AX889" s="11"/>
      <c r="AY889" s="11"/>
      <c r="AZ889" s="11"/>
    </row>
    <row r="890" ht="15.75" customHeight="1">
      <c r="A890" s="12"/>
      <c r="B890" s="13"/>
      <c r="C890" s="14"/>
      <c r="D890" s="15"/>
      <c r="E890" s="15"/>
      <c r="F890" s="15"/>
      <c r="G890" s="15"/>
      <c r="H890" s="15"/>
      <c r="I890" s="15"/>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8"/>
      <c r="AL890" s="9"/>
      <c r="AM890" s="9"/>
      <c r="AN890" s="11"/>
      <c r="AO890" s="11"/>
      <c r="AP890" s="11"/>
      <c r="AQ890" s="11"/>
      <c r="AR890" s="11"/>
      <c r="AS890" s="11"/>
      <c r="AT890" s="11"/>
      <c r="AU890" s="11"/>
      <c r="AV890" s="11"/>
      <c r="AW890" s="11"/>
      <c r="AX890" s="11"/>
      <c r="AY890" s="11"/>
      <c r="AZ890" s="11"/>
    </row>
    <row r="891" ht="15.75" customHeight="1">
      <c r="A891" s="12"/>
      <c r="B891" s="13"/>
      <c r="C891" s="14"/>
      <c r="D891" s="15"/>
      <c r="E891" s="15"/>
      <c r="F891" s="15"/>
      <c r="G891" s="15"/>
      <c r="H891" s="15"/>
      <c r="I891" s="15"/>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8"/>
      <c r="AL891" s="9"/>
      <c r="AM891" s="9"/>
      <c r="AN891" s="11"/>
      <c r="AO891" s="11"/>
      <c r="AP891" s="11"/>
      <c r="AQ891" s="11"/>
      <c r="AR891" s="11"/>
      <c r="AS891" s="11"/>
      <c r="AT891" s="11"/>
      <c r="AU891" s="11"/>
      <c r="AV891" s="11"/>
      <c r="AW891" s="11"/>
      <c r="AX891" s="11"/>
      <c r="AY891" s="11"/>
      <c r="AZ891" s="11"/>
    </row>
    <row r="892" ht="15.75" customHeight="1">
      <c r="A892" s="12"/>
      <c r="B892" s="13"/>
      <c r="C892" s="14"/>
      <c r="D892" s="15"/>
      <c r="E892" s="15"/>
      <c r="F892" s="15"/>
      <c r="G892" s="15"/>
      <c r="H892" s="15"/>
      <c r="I892" s="15"/>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8"/>
      <c r="AL892" s="9"/>
      <c r="AM892" s="9"/>
      <c r="AN892" s="11"/>
      <c r="AO892" s="11"/>
      <c r="AP892" s="11"/>
      <c r="AQ892" s="11"/>
      <c r="AR892" s="11"/>
      <c r="AS892" s="11"/>
      <c r="AT892" s="11"/>
      <c r="AU892" s="11"/>
      <c r="AV892" s="11"/>
      <c r="AW892" s="11"/>
      <c r="AX892" s="11"/>
      <c r="AY892" s="11"/>
      <c r="AZ892" s="11"/>
    </row>
    <row r="893" ht="15.75" customHeight="1">
      <c r="A893" s="12"/>
      <c r="B893" s="13"/>
      <c r="C893" s="14"/>
      <c r="D893" s="15"/>
      <c r="E893" s="15"/>
      <c r="F893" s="15"/>
      <c r="G893" s="15"/>
      <c r="H893" s="15"/>
      <c r="I893" s="15"/>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8"/>
      <c r="AL893" s="9"/>
      <c r="AM893" s="9"/>
      <c r="AN893" s="11"/>
      <c r="AO893" s="11"/>
      <c r="AP893" s="11"/>
      <c r="AQ893" s="11"/>
      <c r="AR893" s="11"/>
      <c r="AS893" s="11"/>
      <c r="AT893" s="11"/>
      <c r="AU893" s="11"/>
      <c r="AV893" s="11"/>
      <c r="AW893" s="11"/>
      <c r="AX893" s="11"/>
      <c r="AY893" s="11"/>
      <c r="AZ893" s="11"/>
    </row>
    <row r="894" ht="15.75" customHeight="1">
      <c r="A894" s="12"/>
      <c r="B894" s="13"/>
      <c r="C894" s="14"/>
      <c r="D894" s="15"/>
      <c r="E894" s="15"/>
      <c r="F894" s="15"/>
      <c r="G894" s="15"/>
      <c r="H894" s="15"/>
      <c r="I894" s="15"/>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8"/>
      <c r="AL894" s="9"/>
      <c r="AM894" s="9"/>
      <c r="AN894" s="11"/>
      <c r="AO894" s="11"/>
      <c r="AP894" s="11"/>
      <c r="AQ894" s="11"/>
      <c r="AR894" s="11"/>
      <c r="AS894" s="11"/>
      <c r="AT894" s="11"/>
      <c r="AU894" s="11"/>
      <c r="AV894" s="11"/>
      <c r="AW894" s="11"/>
      <c r="AX894" s="11"/>
      <c r="AY894" s="11"/>
      <c r="AZ894" s="11"/>
    </row>
    <row r="895" ht="15.75" customHeight="1">
      <c r="A895" s="12"/>
      <c r="B895" s="13"/>
      <c r="C895" s="14"/>
      <c r="D895" s="15"/>
      <c r="E895" s="15"/>
      <c r="F895" s="15"/>
      <c r="G895" s="15"/>
      <c r="H895" s="15"/>
      <c r="I895" s="15"/>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8"/>
      <c r="AL895" s="9"/>
      <c r="AM895" s="9"/>
      <c r="AN895" s="11"/>
      <c r="AO895" s="11"/>
      <c r="AP895" s="11"/>
      <c r="AQ895" s="11"/>
      <c r="AR895" s="11"/>
      <c r="AS895" s="11"/>
      <c r="AT895" s="11"/>
      <c r="AU895" s="11"/>
      <c r="AV895" s="11"/>
      <c r="AW895" s="11"/>
      <c r="AX895" s="11"/>
      <c r="AY895" s="11"/>
      <c r="AZ895" s="11"/>
    </row>
    <row r="896" ht="15.75" customHeight="1">
      <c r="A896" s="12"/>
      <c r="B896" s="13"/>
      <c r="C896" s="14"/>
      <c r="D896" s="15"/>
      <c r="E896" s="15"/>
      <c r="F896" s="15"/>
      <c r="G896" s="15"/>
      <c r="H896" s="15"/>
      <c r="I896" s="15"/>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8"/>
      <c r="AL896" s="9"/>
      <c r="AM896" s="9"/>
      <c r="AN896" s="11"/>
      <c r="AO896" s="11"/>
      <c r="AP896" s="11"/>
      <c r="AQ896" s="11"/>
      <c r="AR896" s="11"/>
      <c r="AS896" s="11"/>
      <c r="AT896" s="11"/>
      <c r="AU896" s="11"/>
      <c r="AV896" s="11"/>
      <c r="AW896" s="11"/>
      <c r="AX896" s="11"/>
      <c r="AY896" s="11"/>
      <c r="AZ896" s="11"/>
    </row>
    <row r="897" ht="15.75" customHeight="1">
      <c r="A897" s="12"/>
      <c r="B897" s="13"/>
      <c r="C897" s="14"/>
      <c r="D897" s="15"/>
      <c r="E897" s="15"/>
      <c r="F897" s="15"/>
      <c r="G897" s="15"/>
      <c r="H897" s="15"/>
      <c r="I897" s="15"/>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8"/>
      <c r="AL897" s="9"/>
      <c r="AM897" s="9"/>
      <c r="AN897" s="11"/>
      <c r="AO897" s="11"/>
      <c r="AP897" s="11"/>
      <c r="AQ897" s="11"/>
      <c r="AR897" s="11"/>
      <c r="AS897" s="11"/>
      <c r="AT897" s="11"/>
      <c r="AU897" s="11"/>
      <c r="AV897" s="11"/>
      <c r="AW897" s="11"/>
      <c r="AX897" s="11"/>
      <c r="AY897" s="11"/>
      <c r="AZ897" s="11"/>
    </row>
    <row r="898" ht="15.75" customHeight="1">
      <c r="A898" s="12"/>
      <c r="B898" s="13"/>
      <c r="C898" s="14"/>
      <c r="D898" s="15"/>
      <c r="E898" s="15"/>
      <c r="F898" s="15"/>
      <c r="G898" s="15"/>
      <c r="H898" s="15"/>
      <c r="I898" s="15"/>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8"/>
      <c r="AL898" s="9"/>
      <c r="AM898" s="9"/>
      <c r="AN898" s="11"/>
      <c r="AO898" s="11"/>
      <c r="AP898" s="11"/>
      <c r="AQ898" s="11"/>
      <c r="AR898" s="11"/>
      <c r="AS898" s="11"/>
      <c r="AT898" s="11"/>
      <c r="AU898" s="11"/>
      <c r="AV898" s="11"/>
      <c r="AW898" s="11"/>
      <c r="AX898" s="11"/>
      <c r="AY898" s="11"/>
      <c r="AZ898" s="11"/>
    </row>
    <row r="899" ht="15.75" customHeight="1">
      <c r="A899" s="12"/>
      <c r="B899" s="13"/>
      <c r="C899" s="14"/>
      <c r="D899" s="15"/>
      <c r="E899" s="15"/>
      <c r="F899" s="15"/>
      <c r="G899" s="15"/>
      <c r="H899" s="15"/>
      <c r="I899" s="15"/>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8"/>
      <c r="AL899" s="9"/>
      <c r="AM899" s="9"/>
      <c r="AN899" s="11"/>
      <c r="AO899" s="11"/>
      <c r="AP899" s="11"/>
      <c r="AQ899" s="11"/>
      <c r="AR899" s="11"/>
      <c r="AS899" s="11"/>
      <c r="AT899" s="11"/>
      <c r="AU899" s="11"/>
      <c r="AV899" s="11"/>
      <c r="AW899" s="11"/>
      <c r="AX899" s="11"/>
      <c r="AY899" s="11"/>
      <c r="AZ899" s="11"/>
    </row>
    <row r="900" ht="15.75" customHeight="1">
      <c r="A900" s="12"/>
      <c r="B900" s="13"/>
      <c r="C900" s="14"/>
      <c r="D900" s="15"/>
      <c r="E900" s="15"/>
      <c r="F900" s="15"/>
      <c r="G900" s="15"/>
      <c r="H900" s="15"/>
      <c r="I900" s="15"/>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8"/>
      <c r="AL900" s="9"/>
      <c r="AM900" s="9"/>
      <c r="AN900" s="11"/>
      <c r="AO900" s="11"/>
      <c r="AP900" s="11"/>
      <c r="AQ900" s="11"/>
      <c r="AR900" s="11"/>
      <c r="AS900" s="11"/>
      <c r="AT900" s="11"/>
      <c r="AU900" s="11"/>
      <c r="AV900" s="11"/>
      <c r="AW900" s="11"/>
      <c r="AX900" s="11"/>
      <c r="AY900" s="11"/>
      <c r="AZ900" s="11"/>
    </row>
    <row r="901" ht="15.75" customHeight="1">
      <c r="A901" s="12"/>
      <c r="B901" s="13"/>
      <c r="C901" s="14"/>
      <c r="D901" s="15"/>
      <c r="E901" s="15"/>
      <c r="F901" s="15"/>
      <c r="G901" s="15"/>
      <c r="H901" s="15"/>
      <c r="I901" s="15"/>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8"/>
      <c r="AL901" s="9"/>
      <c r="AM901" s="9"/>
      <c r="AN901" s="11"/>
      <c r="AO901" s="11"/>
      <c r="AP901" s="11"/>
      <c r="AQ901" s="11"/>
      <c r="AR901" s="11"/>
      <c r="AS901" s="11"/>
      <c r="AT901" s="11"/>
      <c r="AU901" s="11"/>
      <c r="AV901" s="11"/>
      <c r="AW901" s="11"/>
      <c r="AX901" s="11"/>
      <c r="AY901" s="11"/>
      <c r="AZ901" s="11"/>
    </row>
    <row r="902" ht="15.75" customHeight="1">
      <c r="A902" s="12"/>
      <c r="B902" s="13"/>
      <c r="C902" s="14"/>
      <c r="D902" s="15"/>
      <c r="E902" s="15"/>
      <c r="F902" s="15"/>
      <c r="G902" s="15"/>
      <c r="H902" s="15"/>
      <c r="I902" s="15"/>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8"/>
      <c r="AL902" s="9"/>
      <c r="AM902" s="9"/>
      <c r="AN902" s="11"/>
      <c r="AO902" s="11"/>
      <c r="AP902" s="11"/>
      <c r="AQ902" s="11"/>
      <c r="AR902" s="11"/>
      <c r="AS902" s="11"/>
      <c r="AT902" s="11"/>
      <c r="AU902" s="11"/>
      <c r="AV902" s="11"/>
      <c r="AW902" s="11"/>
      <c r="AX902" s="11"/>
      <c r="AY902" s="11"/>
      <c r="AZ902" s="11"/>
    </row>
    <row r="903" ht="15.75" customHeight="1">
      <c r="A903" s="12"/>
      <c r="B903" s="13"/>
      <c r="C903" s="14"/>
      <c r="D903" s="15"/>
      <c r="E903" s="15"/>
      <c r="F903" s="15"/>
      <c r="G903" s="15"/>
      <c r="H903" s="15"/>
      <c r="I903" s="15"/>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8"/>
      <c r="AL903" s="9"/>
      <c r="AM903" s="9"/>
      <c r="AN903" s="11"/>
      <c r="AO903" s="11"/>
      <c r="AP903" s="11"/>
      <c r="AQ903" s="11"/>
      <c r="AR903" s="11"/>
      <c r="AS903" s="11"/>
      <c r="AT903" s="11"/>
      <c r="AU903" s="11"/>
      <c r="AV903" s="11"/>
      <c r="AW903" s="11"/>
      <c r="AX903" s="11"/>
      <c r="AY903" s="11"/>
      <c r="AZ903" s="11"/>
    </row>
    <row r="904" ht="15.75" customHeight="1">
      <c r="A904" s="12"/>
      <c r="B904" s="13"/>
      <c r="C904" s="14"/>
      <c r="D904" s="15"/>
      <c r="E904" s="15"/>
      <c r="F904" s="15"/>
      <c r="G904" s="15"/>
      <c r="H904" s="15"/>
      <c r="I904" s="15"/>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8"/>
      <c r="AL904" s="9"/>
      <c r="AM904" s="9"/>
      <c r="AN904" s="11"/>
      <c r="AO904" s="11"/>
      <c r="AP904" s="11"/>
      <c r="AQ904" s="11"/>
      <c r="AR904" s="11"/>
      <c r="AS904" s="11"/>
      <c r="AT904" s="11"/>
      <c r="AU904" s="11"/>
      <c r="AV904" s="11"/>
      <c r="AW904" s="11"/>
      <c r="AX904" s="11"/>
      <c r="AY904" s="11"/>
      <c r="AZ904" s="11"/>
    </row>
    <row r="905" ht="15.75" customHeight="1">
      <c r="A905" s="12"/>
      <c r="B905" s="13"/>
      <c r="C905" s="14"/>
      <c r="D905" s="15"/>
      <c r="E905" s="15"/>
      <c r="F905" s="15"/>
      <c r="G905" s="15"/>
      <c r="H905" s="15"/>
      <c r="I905" s="15"/>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8"/>
      <c r="AL905" s="9"/>
      <c r="AM905" s="9"/>
      <c r="AN905" s="11"/>
      <c r="AO905" s="11"/>
      <c r="AP905" s="11"/>
      <c r="AQ905" s="11"/>
      <c r="AR905" s="11"/>
      <c r="AS905" s="11"/>
      <c r="AT905" s="11"/>
      <c r="AU905" s="11"/>
      <c r="AV905" s="11"/>
      <c r="AW905" s="11"/>
      <c r="AX905" s="11"/>
      <c r="AY905" s="11"/>
      <c r="AZ905" s="11"/>
    </row>
    <row r="906" ht="15.75" customHeight="1">
      <c r="A906" s="12"/>
      <c r="B906" s="13"/>
      <c r="C906" s="14"/>
      <c r="D906" s="15"/>
      <c r="E906" s="15"/>
      <c r="F906" s="15"/>
      <c r="G906" s="15"/>
      <c r="H906" s="15"/>
      <c r="I906" s="15"/>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8"/>
      <c r="AL906" s="9"/>
      <c r="AM906" s="9"/>
      <c r="AN906" s="11"/>
      <c r="AO906" s="11"/>
      <c r="AP906" s="11"/>
      <c r="AQ906" s="11"/>
      <c r="AR906" s="11"/>
      <c r="AS906" s="11"/>
      <c r="AT906" s="11"/>
      <c r="AU906" s="11"/>
      <c r="AV906" s="11"/>
      <c r="AW906" s="11"/>
      <c r="AX906" s="11"/>
      <c r="AY906" s="11"/>
      <c r="AZ906" s="11"/>
    </row>
    <row r="907" ht="15.75" customHeight="1">
      <c r="A907" s="12"/>
      <c r="B907" s="13"/>
      <c r="C907" s="14"/>
      <c r="D907" s="15"/>
      <c r="E907" s="15"/>
      <c r="F907" s="15"/>
      <c r="G907" s="15"/>
      <c r="H907" s="15"/>
      <c r="I907" s="15"/>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8"/>
      <c r="AL907" s="9"/>
      <c r="AM907" s="9"/>
      <c r="AN907" s="11"/>
      <c r="AO907" s="11"/>
      <c r="AP907" s="11"/>
      <c r="AQ907" s="11"/>
      <c r="AR907" s="11"/>
      <c r="AS907" s="11"/>
      <c r="AT907" s="11"/>
      <c r="AU907" s="11"/>
      <c r="AV907" s="11"/>
      <c r="AW907" s="11"/>
      <c r="AX907" s="11"/>
      <c r="AY907" s="11"/>
      <c r="AZ907" s="11"/>
    </row>
    <row r="908" ht="15.75" customHeight="1">
      <c r="A908" s="12"/>
      <c r="B908" s="13"/>
      <c r="C908" s="14"/>
      <c r="D908" s="15"/>
      <c r="E908" s="15"/>
      <c r="F908" s="15"/>
      <c r="G908" s="15"/>
      <c r="H908" s="15"/>
      <c r="I908" s="15"/>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8"/>
      <c r="AL908" s="9"/>
      <c r="AM908" s="9"/>
      <c r="AN908" s="11"/>
      <c r="AO908" s="11"/>
      <c r="AP908" s="11"/>
      <c r="AQ908" s="11"/>
      <c r="AR908" s="11"/>
      <c r="AS908" s="11"/>
      <c r="AT908" s="11"/>
      <c r="AU908" s="11"/>
      <c r="AV908" s="11"/>
      <c r="AW908" s="11"/>
      <c r="AX908" s="11"/>
      <c r="AY908" s="11"/>
      <c r="AZ908" s="11"/>
    </row>
    <row r="909" ht="15.75" customHeight="1">
      <c r="A909" s="12"/>
      <c r="B909" s="13"/>
      <c r="C909" s="14"/>
      <c r="D909" s="15"/>
      <c r="E909" s="15"/>
      <c r="F909" s="15"/>
      <c r="G909" s="15"/>
      <c r="H909" s="15"/>
      <c r="I909" s="15"/>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8"/>
      <c r="AL909" s="9"/>
      <c r="AM909" s="9"/>
      <c r="AN909" s="11"/>
      <c r="AO909" s="11"/>
      <c r="AP909" s="11"/>
      <c r="AQ909" s="11"/>
      <c r="AR909" s="11"/>
      <c r="AS909" s="11"/>
      <c r="AT909" s="11"/>
      <c r="AU909" s="11"/>
      <c r="AV909" s="11"/>
      <c r="AW909" s="11"/>
      <c r="AX909" s="11"/>
      <c r="AY909" s="11"/>
      <c r="AZ909" s="11"/>
    </row>
    <row r="910" ht="15.75" customHeight="1">
      <c r="A910" s="12"/>
      <c r="B910" s="13"/>
      <c r="C910" s="14"/>
      <c r="D910" s="15"/>
      <c r="E910" s="15"/>
      <c r="F910" s="15"/>
      <c r="G910" s="15"/>
      <c r="H910" s="15"/>
      <c r="I910" s="15"/>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8"/>
      <c r="AL910" s="9"/>
      <c r="AM910" s="9"/>
      <c r="AN910" s="11"/>
      <c r="AO910" s="11"/>
      <c r="AP910" s="11"/>
      <c r="AQ910" s="11"/>
      <c r="AR910" s="11"/>
      <c r="AS910" s="11"/>
      <c r="AT910" s="11"/>
      <c r="AU910" s="11"/>
      <c r="AV910" s="11"/>
      <c r="AW910" s="11"/>
      <c r="AX910" s="11"/>
      <c r="AY910" s="11"/>
      <c r="AZ910" s="11"/>
    </row>
    <row r="911" ht="15.75" customHeight="1">
      <c r="A911" s="12"/>
      <c r="B911" s="13"/>
      <c r="C911" s="14"/>
      <c r="D911" s="15"/>
      <c r="E911" s="15"/>
      <c r="F911" s="15"/>
      <c r="G911" s="15"/>
      <c r="H911" s="15"/>
      <c r="I911" s="15"/>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8"/>
      <c r="AL911" s="9"/>
      <c r="AM911" s="9"/>
      <c r="AN911" s="11"/>
      <c r="AO911" s="11"/>
      <c r="AP911" s="11"/>
      <c r="AQ911" s="11"/>
      <c r="AR911" s="11"/>
      <c r="AS911" s="11"/>
      <c r="AT911" s="11"/>
      <c r="AU911" s="11"/>
      <c r="AV911" s="11"/>
      <c r="AW911" s="11"/>
      <c r="AX911" s="11"/>
      <c r="AY911" s="11"/>
      <c r="AZ911" s="11"/>
    </row>
    <row r="912" ht="15.75" customHeight="1">
      <c r="A912" s="12"/>
      <c r="B912" s="13"/>
      <c r="C912" s="14"/>
      <c r="D912" s="15"/>
      <c r="E912" s="15"/>
      <c r="F912" s="15"/>
      <c r="G912" s="15"/>
      <c r="H912" s="15"/>
      <c r="I912" s="15"/>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8"/>
      <c r="AL912" s="9"/>
      <c r="AM912" s="9"/>
      <c r="AN912" s="11"/>
      <c r="AO912" s="11"/>
      <c r="AP912" s="11"/>
      <c r="AQ912" s="11"/>
      <c r="AR912" s="11"/>
      <c r="AS912" s="11"/>
      <c r="AT912" s="11"/>
      <c r="AU912" s="11"/>
      <c r="AV912" s="11"/>
      <c r="AW912" s="11"/>
      <c r="AX912" s="11"/>
      <c r="AY912" s="11"/>
      <c r="AZ912" s="11"/>
    </row>
    <row r="913" ht="15.75" customHeight="1">
      <c r="A913" s="12"/>
      <c r="B913" s="13"/>
      <c r="C913" s="14"/>
      <c r="D913" s="15"/>
      <c r="E913" s="15"/>
      <c r="F913" s="15"/>
      <c r="G913" s="15"/>
      <c r="H913" s="15"/>
      <c r="I913" s="15"/>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8"/>
      <c r="AL913" s="9"/>
      <c r="AM913" s="9"/>
      <c r="AN913" s="11"/>
      <c r="AO913" s="11"/>
      <c r="AP913" s="11"/>
      <c r="AQ913" s="11"/>
      <c r="AR913" s="11"/>
      <c r="AS913" s="11"/>
      <c r="AT913" s="11"/>
      <c r="AU913" s="11"/>
      <c r="AV913" s="11"/>
      <c r="AW913" s="11"/>
      <c r="AX913" s="11"/>
      <c r="AY913" s="11"/>
      <c r="AZ913" s="11"/>
    </row>
    <row r="914" ht="15.75" customHeight="1">
      <c r="A914" s="12"/>
      <c r="B914" s="13"/>
      <c r="C914" s="14"/>
      <c r="D914" s="15"/>
      <c r="E914" s="15"/>
      <c r="F914" s="15"/>
      <c r="G914" s="15"/>
      <c r="H914" s="15"/>
      <c r="I914" s="15"/>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8"/>
      <c r="AL914" s="9"/>
      <c r="AM914" s="9"/>
      <c r="AN914" s="11"/>
      <c r="AO914" s="11"/>
      <c r="AP914" s="11"/>
      <c r="AQ914" s="11"/>
      <c r="AR914" s="11"/>
      <c r="AS914" s="11"/>
      <c r="AT914" s="11"/>
      <c r="AU914" s="11"/>
      <c r="AV914" s="11"/>
      <c r="AW914" s="11"/>
      <c r="AX914" s="11"/>
      <c r="AY914" s="11"/>
      <c r="AZ914" s="11"/>
    </row>
    <row r="915" ht="15.75" customHeight="1">
      <c r="A915" s="12"/>
      <c r="B915" s="13"/>
      <c r="C915" s="14"/>
      <c r="D915" s="15"/>
      <c r="E915" s="15"/>
      <c r="F915" s="15"/>
      <c r="G915" s="15"/>
      <c r="H915" s="15"/>
      <c r="I915" s="15"/>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8"/>
      <c r="AL915" s="9"/>
      <c r="AM915" s="9"/>
      <c r="AN915" s="11"/>
      <c r="AO915" s="11"/>
      <c r="AP915" s="11"/>
      <c r="AQ915" s="11"/>
      <c r="AR915" s="11"/>
      <c r="AS915" s="11"/>
      <c r="AT915" s="11"/>
      <c r="AU915" s="11"/>
      <c r="AV915" s="11"/>
      <c r="AW915" s="11"/>
      <c r="AX915" s="11"/>
      <c r="AY915" s="11"/>
      <c r="AZ915" s="11"/>
    </row>
    <row r="916" ht="15.75" customHeight="1">
      <c r="A916" s="12"/>
      <c r="B916" s="13"/>
      <c r="C916" s="14"/>
      <c r="D916" s="15"/>
      <c r="E916" s="15"/>
      <c r="F916" s="15"/>
      <c r="G916" s="15"/>
      <c r="H916" s="15"/>
      <c r="I916" s="15"/>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8"/>
      <c r="AL916" s="9"/>
      <c r="AM916" s="9"/>
      <c r="AN916" s="11"/>
      <c r="AO916" s="11"/>
      <c r="AP916" s="11"/>
      <c r="AQ916" s="11"/>
      <c r="AR916" s="11"/>
      <c r="AS916" s="11"/>
      <c r="AT916" s="11"/>
      <c r="AU916" s="11"/>
      <c r="AV916" s="11"/>
      <c r="AW916" s="11"/>
      <c r="AX916" s="11"/>
      <c r="AY916" s="11"/>
      <c r="AZ916" s="11"/>
    </row>
    <row r="917" ht="15.75" customHeight="1">
      <c r="A917" s="12"/>
      <c r="B917" s="13"/>
      <c r="C917" s="14"/>
      <c r="D917" s="15"/>
      <c r="E917" s="15"/>
      <c r="F917" s="15"/>
      <c r="G917" s="15"/>
      <c r="H917" s="15"/>
      <c r="I917" s="15"/>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8"/>
      <c r="AL917" s="9"/>
      <c r="AM917" s="9"/>
      <c r="AN917" s="11"/>
      <c r="AO917" s="11"/>
      <c r="AP917" s="11"/>
      <c r="AQ917" s="11"/>
      <c r="AR917" s="11"/>
      <c r="AS917" s="11"/>
      <c r="AT917" s="11"/>
      <c r="AU917" s="11"/>
      <c r="AV917" s="11"/>
      <c r="AW917" s="11"/>
      <c r="AX917" s="11"/>
      <c r="AY917" s="11"/>
      <c r="AZ917" s="11"/>
    </row>
    <row r="918" ht="15.75" customHeight="1">
      <c r="A918" s="12"/>
      <c r="B918" s="13"/>
      <c r="C918" s="14"/>
      <c r="D918" s="15"/>
      <c r="E918" s="15"/>
      <c r="F918" s="15"/>
      <c r="G918" s="15"/>
      <c r="H918" s="15"/>
      <c r="I918" s="15"/>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8"/>
      <c r="AL918" s="9"/>
      <c r="AM918" s="9"/>
      <c r="AN918" s="11"/>
      <c r="AO918" s="11"/>
      <c r="AP918" s="11"/>
      <c r="AQ918" s="11"/>
      <c r="AR918" s="11"/>
      <c r="AS918" s="11"/>
      <c r="AT918" s="11"/>
      <c r="AU918" s="11"/>
      <c r="AV918" s="11"/>
      <c r="AW918" s="11"/>
      <c r="AX918" s="11"/>
      <c r="AY918" s="11"/>
      <c r="AZ918" s="11"/>
    </row>
    <row r="919" ht="15.75" customHeight="1">
      <c r="A919" s="12"/>
      <c r="B919" s="13"/>
      <c r="C919" s="14"/>
      <c r="D919" s="15"/>
      <c r="E919" s="15"/>
      <c r="F919" s="15"/>
      <c r="G919" s="15"/>
      <c r="H919" s="15"/>
      <c r="I919" s="15"/>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8"/>
      <c r="AL919" s="9"/>
      <c r="AM919" s="9"/>
      <c r="AN919" s="11"/>
      <c r="AO919" s="11"/>
      <c r="AP919" s="11"/>
      <c r="AQ919" s="11"/>
      <c r="AR919" s="11"/>
      <c r="AS919" s="11"/>
      <c r="AT919" s="11"/>
      <c r="AU919" s="11"/>
      <c r="AV919" s="11"/>
      <c r="AW919" s="11"/>
      <c r="AX919" s="11"/>
      <c r="AY919" s="11"/>
      <c r="AZ919" s="11"/>
    </row>
    <row r="920" ht="15.75" customHeight="1">
      <c r="A920" s="12"/>
      <c r="B920" s="13"/>
      <c r="C920" s="14"/>
      <c r="D920" s="15"/>
      <c r="E920" s="15"/>
      <c r="F920" s="15"/>
      <c r="G920" s="15"/>
      <c r="H920" s="15"/>
      <c r="I920" s="15"/>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8"/>
      <c r="AL920" s="9"/>
      <c r="AM920" s="9"/>
      <c r="AN920" s="11"/>
      <c r="AO920" s="11"/>
      <c r="AP920" s="11"/>
      <c r="AQ920" s="11"/>
      <c r="AR920" s="11"/>
      <c r="AS920" s="11"/>
      <c r="AT920" s="11"/>
      <c r="AU920" s="11"/>
      <c r="AV920" s="11"/>
      <c r="AW920" s="11"/>
      <c r="AX920" s="11"/>
      <c r="AY920" s="11"/>
      <c r="AZ920" s="11"/>
    </row>
    <row r="921" ht="15.75" customHeight="1">
      <c r="A921" s="12"/>
      <c r="B921" s="13"/>
      <c r="C921" s="14"/>
      <c r="D921" s="15"/>
      <c r="E921" s="15"/>
      <c r="F921" s="15"/>
      <c r="G921" s="15"/>
      <c r="H921" s="15"/>
      <c r="I921" s="15"/>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8"/>
      <c r="AL921" s="9"/>
      <c r="AM921" s="9"/>
      <c r="AN921" s="11"/>
      <c r="AO921" s="11"/>
      <c r="AP921" s="11"/>
      <c r="AQ921" s="11"/>
      <c r="AR921" s="11"/>
      <c r="AS921" s="11"/>
      <c r="AT921" s="11"/>
      <c r="AU921" s="11"/>
      <c r="AV921" s="11"/>
      <c r="AW921" s="11"/>
      <c r="AX921" s="11"/>
      <c r="AY921" s="11"/>
      <c r="AZ921" s="11"/>
    </row>
    <row r="922" ht="15.75" customHeight="1">
      <c r="A922" s="12"/>
      <c r="B922" s="13"/>
      <c r="C922" s="14"/>
      <c r="D922" s="15"/>
      <c r="E922" s="15"/>
      <c r="F922" s="15"/>
      <c r="G922" s="15"/>
      <c r="H922" s="15"/>
      <c r="I922" s="15"/>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8"/>
      <c r="AL922" s="9"/>
      <c r="AM922" s="9"/>
      <c r="AN922" s="11"/>
      <c r="AO922" s="11"/>
      <c r="AP922" s="11"/>
      <c r="AQ922" s="11"/>
      <c r="AR922" s="11"/>
      <c r="AS922" s="11"/>
      <c r="AT922" s="11"/>
      <c r="AU922" s="11"/>
      <c r="AV922" s="11"/>
      <c r="AW922" s="11"/>
      <c r="AX922" s="11"/>
      <c r="AY922" s="11"/>
      <c r="AZ922" s="11"/>
    </row>
    <row r="923" ht="15.75" customHeight="1">
      <c r="A923" s="12"/>
      <c r="B923" s="13"/>
      <c r="C923" s="14"/>
      <c r="D923" s="15"/>
      <c r="E923" s="15"/>
      <c r="F923" s="15"/>
      <c r="G923" s="15"/>
      <c r="H923" s="15"/>
      <c r="I923" s="15"/>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8"/>
      <c r="AL923" s="9"/>
      <c r="AM923" s="9"/>
      <c r="AN923" s="11"/>
      <c r="AO923" s="11"/>
      <c r="AP923" s="11"/>
      <c r="AQ923" s="11"/>
      <c r="AR923" s="11"/>
      <c r="AS923" s="11"/>
      <c r="AT923" s="11"/>
      <c r="AU923" s="11"/>
      <c r="AV923" s="11"/>
      <c r="AW923" s="11"/>
      <c r="AX923" s="11"/>
      <c r="AY923" s="11"/>
      <c r="AZ923" s="11"/>
    </row>
    <row r="924" ht="15.75" customHeight="1">
      <c r="A924" s="12"/>
      <c r="B924" s="13"/>
      <c r="C924" s="14"/>
      <c r="D924" s="15"/>
      <c r="E924" s="15"/>
      <c r="F924" s="15"/>
      <c r="G924" s="15"/>
      <c r="H924" s="15"/>
      <c r="I924" s="15"/>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8"/>
      <c r="AL924" s="9"/>
      <c r="AM924" s="9"/>
      <c r="AN924" s="11"/>
      <c r="AO924" s="11"/>
      <c r="AP924" s="11"/>
      <c r="AQ924" s="11"/>
      <c r="AR924" s="11"/>
      <c r="AS924" s="11"/>
      <c r="AT924" s="11"/>
      <c r="AU924" s="11"/>
      <c r="AV924" s="11"/>
      <c r="AW924" s="11"/>
      <c r="AX924" s="11"/>
      <c r="AY924" s="11"/>
      <c r="AZ924" s="11"/>
    </row>
    <row r="925" ht="15.75" customHeight="1">
      <c r="A925" s="12"/>
      <c r="B925" s="13"/>
      <c r="C925" s="14"/>
      <c r="D925" s="15"/>
      <c r="E925" s="15"/>
      <c r="F925" s="15"/>
      <c r="G925" s="15"/>
      <c r="H925" s="15"/>
      <c r="I925" s="15"/>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8"/>
      <c r="AL925" s="9"/>
      <c r="AM925" s="9"/>
      <c r="AN925" s="11"/>
      <c r="AO925" s="11"/>
      <c r="AP925" s="11"/>
      <c r="AQ925" s="11"/>
      <c r="AR925" s="11"/>
      <c r="AS925" s="11"/>
      <c r="AT925" s="11"/>
      <c r="AU925" s="11"/>
      <c r="AV925" s="11"/>
      <c r="AW925" s="11"/>
      <c r="AX925" s="11"/>
      <c r="AY925" s="11"/>
      <c r="AZ925" s="11"/>
    </row>
    <row r="926" ht="15.75" customHeight="1">
      <c r="A926" s="12"/>
      <c r="B926" s="13"/>
      <c r="C926" s="14"/>
      <c r="D926" s="15"/>
      <c r="E926" s="15"/>
      <c r="F926" s="15"/>
      <c r="G926" s="15"/>
      <c r="H926" s="15"/>
      <c r="I926" s="15"/>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8"/>
      <c r="AL926" s="9"/>
      <c r="AM926" s="9"/>
      <c r="AN926" s="11"/>
      <c r="AO926" s="11"/>
      <c r="AP926" s="11"/>
      <c r="AQ926" s="11"/>
      <c r="AR926" s="11"/>
      <c r="AS926" s="11"/>
      <c r="AT926" s="11"/>
      <c r="AU926" s="11"/>
      <c r="AV926" s="11"/>
      <c r="AW926" s="11"/>
      <c r="AX926" s="11"/>
      <c r="AY926" s="11"/>
      <c r="AZ926" s="11"/>
    </row>
    <row r="927" ht="15.75" customHeight="1">
      <c r="A927" s="12"/>
      <c r="B927" s="13"/>
      <c r="C927" s="14"/>
      <c r="D927" s="15"/>
      <c r="E927" s="15"/>
      <c r="F927" s="15"/>
      <c r="G927" s="15"/>
      <c r="H927" s="15"/>
      <c r="I927" s="15"/>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8"/>
      <c r="AL927" s="9"/>
      <c r="AM927" s="9"/>
      <c r="AN927" s="11"/>
      <c r="AO927" s="11"/>
      <c r="AP927" s="11"/>
      <c r="AQ927" s="11"/>
      <c r="AR927" s="11"/>
      <c r="AS927" s="11"/>
      <c r="AT927" s="11"/>
      <c r="AU927" s="11"/>
      <c r="AV927" s="11"/>
      <c r="AW927" s="11"/>
      <c r="AX927" s="11"/>
      <c r="AY927" s="11"/>
      <c r="AZ927" s="11"/>
    </row>
    <row r="928" ht="15.75" customHeight="1">
      <c r="A928" s="12"/>
      <c r="B928" s="13"/>
      <c r="C928" s="14"/>
      <c r="D928" s="15"/>
      <c r="E928" s="15"/>
      <c r="F928" s="15"/>
      <c r="G928" s="15"/>
      <c r="H928" s="15"/>
      <c r="I928" s="15"/>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8"/>
      <c r="AL928" s="9"/>
      <c r="AM928" s="9"/>
      <c r="AN928" s="11"/>
      <c r="AO928" s="11"/>
      <c r="AP928" s="11"/>
      <c r="AQ928" s="11"/>
      <c r="AR928" s="11"/>
      <c r="AS928" s="11"/>
      <c r="AT928" s="11"/>
      <c r="AU928" s="11"/>
      <c r="AV928" s="11"/>
      <c r="AW928" s="11"/>
      <c r="AX928" s="11"/>
      <c r="AY928" s="11"/>
      <c r="AZ928" s="11"/>
    </row>
    <row r="929" ht="15.75" customHeight="1">
      <c r="A929" s="12"/>
      <c r="B929" s="13"/>
      <c r="C929" s="14"/>
      <c r="D929" s="15"/>
      <c r="E929" s="15"/>
      <c r="F929" s="15"/>
      <c r="G929" s="15"/>
      <c r="H929" s="15"/>
      <c r="I929" s="15"/>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8"/>
      <c r="AL929" s="9"/>
      <c r="AM929" s="9"/>
      <c r="AN929" s="11"/>
      <c r="AO929" s="11"/>
      <c r="AP929" s="11"/>
      <c r="AQ929" s="11"/>
      <c r="AR929" s="11"/>
      <c r="AS929" s="11"/>
      <c r="AT929" s="11"/>
      <c r="AU929" s="11"/>
      <c r="AV929" s="11"/>
      <c r="AW929" s="11"/>
      <c r="AX929" s="11"/>
      <c r="AY929" s="11"/>
      <c r="AZ929" s="11"/>
    </row>
    <row r="930" ht="15.75" customHeight="1">
      <c r="A930" s="12"/>
      <c r="B930" s="13"/>
      <c r="C930" s="14"/>
      <c r="D930" s="15"/>
      <c r="E930" s="15"/>
      <c r="F930" s="15"/>
      <c r="G930" s="15"/>
      <c r="H930" s="15"/>
      <c r="I930" s="15"/>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8"/>
      <c r="AL930" s="9"/>
      <c r="AM930" s="9"/>
      <c r="AN930" s="11"/>
      <c r="AO930" s="11"/>
      <c r="AP930" s="11"/>
      <c r="AQ930" s="11"/>
      <c r="AR930" s="11"/>
      <c r="AS930" s="11"/>
      <c r="AT930" s="11"/>
      <c r="AU930" s="11"/>
      <c r="AV930" s="11"/>
      <c r="AW930" s="11"/>
      <c r="AX930" s="11"/>
      <c r="AY930" s="11"/>
      <c r="AZ930" s="11"/>
    </row>
    <row r="931" ht="15.75" customHeight="1">
      <c r="A931" s="12"/>
      <c r="B931" s="13"/>
      <c r="C931" s="14"/>
      <c r="D931" s="15"/>
      <c r="E931" s="15"/>
      <c r="F931" s="15"/>
      <c r="G931" s="15"/>
      <c r="H931" s="15"/>
      <c r="I931" s="15"/>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8"/>
      <c r="AL931" s="9"/>
      <c r="AM931" s="9"/>
      <c r="AN931" s="11"/>
      <c r="AO931" s="11"/>
      <c r="AP931" s="11"/>
      <c r="AQ931" s="11"/>
      <c r="AR931" s="11"/>
      <c r="AS931" s="11"/>
      <c r="AT931" s="11"/>
      <c r="AU931" s="11"/>
      <c r="AV931" s="11"/>
      <c r="AW931" s="11"/>
      <c r="AX931" s="11"/>
      <c r="AY931" s="11"/>
      <c r="AZ931" s="11"/>
    </row>
    <row r="932" ht="15.75" customHeight="1">
      <c r="A932" s="12"/>
      <c r="B932" s="13"/>
      <c r="C932" s="14"/>
      <c r="D932" s="15"/>
      <c r="E932" s="15"/>
      <c r="F932" s="15"/>
      <c r="G932" s="15"/>
      <c r="H932" s="15"/>
      <c r="I932" s="15"/>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8"/>
      <c r="AL932" s="9"/>
      <c r="AM932" s="9"/>
      <c r="AN932" s="11"/>
      <c r="AO932" s="11"/>
      <c r="AP932" s="11"/>
      <c r="AQ932" s="11"/>
      <c r="AR932" s="11"/>
      <c r="AS932" s="11"/>
      <c r="AT932" s="11"/>
      <c r="AU932" s="11"/>
      <c r="AV932" s="11"/>
      <c r="AW932" s="11"/>
      <c r="AX932" s="11"/>
      <c r="AY932" s="11"/>
      <c r="AZ932" s="11"/>
    </row>
    <row r="933" ht="15.75" customHeight="1">
      <c r="A933" s="12"/>
      <c r="B933" s="13"/>
      <c r="C933" s="14"/>
      <c r="D933" s="15"/>
      <c r="E933" s="15"/>
      <c r="F933" s="15"/>
      <c r="G933" s="15"/>
      <c r="H933" s="15"/>
      <c r="I933" s="15"/>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8"/>
      <c r="AL933" s="9"/>
      <c r="AM933" s="9"/>
      <c r="AN933" s="11"/>
      <c r="AO933" s="11"/>
      <c r="AP933" s="11"/>
      <c r="AQ933" s="11"/>
      <c r="AR933" s="11"/>
      <c r="AS933" s="11"/>
      <c r="AT933" s="11"/>
      <c r="AU933" s="11"/>
      <c r="AV933" s="11"/>
      <c r="AW933" s="11"/>
      <c r="AX933" s="11"/>
      <c r="AY933" s="11"/>
      <c r="AZ933" s="11"/>
    </row>
    <row r="934" ht="15.75" customHeight="1">
      <c r="A934" s="12"/>
      <c r="B934" s="13"/>
      <c r="C934" s="14"/>
      <c r="D934" s="15"/>
      <c r="E934" s="15"/>
      <c r="F934" s="15"/>
      <c r="G934" s="15"/>
      <c r="H934" s="15"/>
      <c r="I934" s="15"/>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8"/>
      <c r="AL934" s="9"/>
      <c r="AM934" s="9"/>
      <c r="AN934" s="11"/>
      <c r="AO934" s="11"/>
      <c r="AP934" s="11"/>
      <c r="AQ934" s="11"/>
      <c r="AR934" s="11"/>
      <c r="AS934" s="11"/>
      <c r="AT934" s="11"/>
      <c r="AU934" s="11"/>
      <c r="AV934" s="11"/>
      <c r="AW934" s="11"/>
      <c r="AX934" s="11"/>
      <c r="AY934" s="11"/>
      <c r="AZ934" s="11"/>
    </row>
    <row r="935" ht="15.75" customHeight="1">
      <c r="A935" s="12"/>
      <c r="B935" s="13"/>
      <c r="C935" s="14"/>
      <c r="D935" s="15"/>
      <c r="E935" s="15"/>
      <c r="F935" s="15"/>
      <c r="G935" s="15"/>
      <c r="H935" s="15"/>
      <c r="I935" s="15"/>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8"/>
      <c r="AL935" s="9"/>
      <c r="AM935" s="9"/>
      <c r="AN935" s="11"/>
      <c r="AO935" s="11"/>
      <c r="AP935" s="11"/>
      <c r="AQ935" s="11"/>
      <c r="AR935" s="11"/>
      <c r="AS935" s="11"/>
      <c r="AT935" s="11"/>
      <c r="AU935" s="11"/>
      <c r="AV935" s="11"/>
      <c r="AW935" s="11"/>
      <c r="AX935" s="11"/>
      <c r="AY935" s="11"/>
      <c r="AZ935" s="11"/>
    </row>
    <row r="936" ht="15.75" customHeight="1">
      <c r="A936" s="12"/>
      <c r="B936" s="13"/>
      <c r="C936" s="14"/>
      <c r="D936" s="15"/>
      <c r="E936" s="15"/>
      <c r="F936" s="15"/>
      <c r="G936" s="15"/>
      <c r="H936" s="15"/>
      <c r="I936" s="15"/>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8"/>
      <c r="AL936" s="9"/>
      <c r="AM936" s="9"/>
      <c r="AN936" s="11"/>
      <c r="AO936" s="11"/>
      <c r="AP936" s="11"/>
      <c r="AQ936" s="11"/>
      <c r="AR936" s="11"/>
      <c r="AS936" s="11"/>
      <c r="AT936" s="11"/>
      <c r="AU936" s="11"/>
      <c r="AV936" s="11"/>
      <c r="AW936" s="11"/>
      <c r="AX936" s="11"/>
      <c r="AY936" s="11"/>
      <c r="AZ936" s="11"/>
    </row>
    <row r="937" ht="15.75" customHeight="1">
      <c r="A937" s="12"/>
      <c r="B937" s="13"/>
      <c r="C937" s="14"/>
      <c r="D937" s="15"/>
      <c r="E937" s="15"/>
      <c r="F937" s="15"/>
      <c r="G937" s="15"/>
      <c r="H937" s="15"/>
      <c r="I937" s="15"/>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8"/>
      <c r="AL937" s="9"/>
      <c r="AM937" s="9"/>
      <c r="AN937" s="11"/>
      <c r="AO937" s="11"/>
      <c r="AP937" s="11"/>
      <c r="AQ937" s="11"/>
      <c r="AR937" s="11"/>
      <c r="AS937" s="11"/>
      <c r="AT937" s="11"/>
      <c r="AU937" s="11"/>
      <c r="AV937" s="11"/>
      <c r="AW937" s="11"/>
      <c r="AX937" s="11"/>
      <c r="AY937" s="11"/>
      <c r="AZ937" s="11"/>
    </row>
    <row r="938" ht="15.75" customHeight="1">
      <c r="A938" s="12"/>
      <c r="B938" s="13"/>
      <c r="C938" s="14"/>
      <c r="D938" s="15"/>
      <c r="E938" s="15"/>
      <c r="F938" s="15"/>
      <c r="G938" s="15"/>
      <c r="H938" s="15"/>
      <c r="I938" s="15"/>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8"/>
      <c r="AL938" s="9"/>
      <c r="AM938" s="9"/>
      <c r="AN938" s="11"/>
      <c r="AO938" s="11"/>
      <c r="AP938" s="11"/>
      <c r="AQ938" s="11"/>
      <c r="AR938" s="11"/>
      <c r="AS938" s="11"/>
      <c r="AT938" s="11"/>
      <c r="AU938" s="11"/>
      <c r="AV938" s="11"/>
      <c r="AW938" s="11"/>
      <c r="AX938" s="11"/>
      <c r="AY938" s="11"/>
      <c r="AZ938" s="11"/>
    </row>
    <row r="939" ht="15.75" customHeight="1">
      <c r="A939" s="12"/>
      <c r="B939" s="13"/>
      <c r="C939" s="14"/>
      <c r="D939" s="15"/>
      <c r="E939" s="15"/>
      <c r="F939" s="15"/>
      <c r="G939" s="15"/>
      <c r="H939" s="15"/>
      <c r="I939" s="15"/>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8"/>
      <c r="AL939" s="9"/>
      <c r="AM939" s="9"/>
      <c r="AN939" s="11"/>
      <c r="AO939" s="11"/>
      <c r="AP939" s="11"/>
      <c r="AQ939" s="11"/>
      <c r="AR939" s="11"/>
      <c r="AS939" s="11"/>
      <c r="AT939" s="11"/>
      <c r="AU939" s="11"/>
      <c r="AV939" s="11"/>
      <c r="AW939" s="11"/>
      <c r="AX939" s="11"/>
      <c r="AY939" s="11"/>
      <c r="AZ939" s="11"/>
    </row>
    <row r="940" ht="15.75" customHeight="1">
      <c r="A940" s="12"/>
      <c r="B940" s="13"/>
      <c r="C940" s="14"/>
      <c r="D940" s="15"/>
      <c r="E940" s="15"/>
      <c r="F940" s="15"/>
      <c r="G940" s="15"/>
      <c r="H940" s="15"/>
      <c r="I940" s="15"/>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8"/>
      <c r="AL940" s="9"/>
      <c r="AM940" s="9"/>
      <c r="AN940" s="11"/>
      <c r="AO940" s="11"/>
      <c r="AP940" s="11"/>
      <c r="AQ940" s="11"/>
      <c r="AR940" s="11"/>
      <c r="AS940" s="11"/>
      <c r="AT940" s="11"/>
      <c r="AU940" s="11"/>
      <c r="AV940" s="11"/>
      <c r="AW940" s="11"/>
      <c r="AX940" s="11"/>
      <c r="AY940" s="11"/>
      <c r="AZ940" s="11"/>
    </row>
    <row r="941" ht="15.75" customHeight="1">
      <c r="A941" s="12"/>
      <c r="B941" s="13"/>
      <c r="C941" s="14"/>
      <c r="D941" s="15"/>
      <c r="E941" s="15"/>
      <c r="F941" s="15"/>
      <c r="G941" s="15"/>
      <c r="H941" s="15"/>
      <c r="I941" s="15"/>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8"/>
      <c r="AL941" s="9"/>
      <c r="AM941" s="9"/>
      <c r="AN941" s="11"/>
      <c r="AO941" s="11"/>
      <c r="AP941" s="11"/>
      <c r="AQ941" s="11"/>
      <c r="AR941" s="11"/>
      <c r="AS941" s="11"/>
      <c r="AT941" s="11"/>
      <c r="AU941" s="11"/>
      <c r="AV941" s="11"/>
      <c r="AW941" s="11"/>
      <c r="AX941" s="11"/>
      <c r="AY941" s="11"/>
      <c r="AZ941" s="11"/>
    </row>
    <row r="942" ht="15.75" customHeight="1">
      <c r="A942" s="12"/>
      <c r="B942" s="13"/>
      <c r="C942" s="14"/>
      <c r="D942" s="15"/>
      <c r="E942" s="15"/>
      <c r="F942" s="15"/>
      <c r="G942" s="15"/>
      <c r="H942" s="15"/>
      <c r="I942" s="15"/>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8"/>
      <c r="AL942" s="9"/>
      <c r="AM942" s="9"/>
      <c r="AN942" s="11"/>
      <c r="AO942" s="11"/>
      <c r="AP942" s="11"/>
      <c r="AQ942" s="11"/>
      <c r="AR942" s="11"/>
      <c r="AS942" s="11"/>
      <c r="AT942" s="11"/>
      <c r="AU942" s="11"/>
      <c r="AV942" s="11"/>
      <c r="AW942" s="11"/>
      <c r="AX942" s="11"/>
      <c r="AY942" s="11"/>
      <c r="AZ942" s="11"/>
    </row>
    <row r="943" ht="15.75" customHeight="1">
      <c r="A943" s="12"/>
      <c r="B943" s="13"/>
      <c r="C943" s="14"/>
      <c r="D943" s="15"/>
      <c r="E943" s="15"/>
      <c r="F943" s="15"/>
      <c r="G943" s="15"/>
      <c r="H943" s="15"/>
      <c r="I943" s="15"/>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8"/>
      <c r="AL943" s="9"/>
      <c r="AM943" s="9"/>
      <c r="AN943" s="11"/>
      <c r="AO943" s="11"/>
      <c r="AP943" s="11"/>
      <c r="AQ943" s="11"/>
      <c r="AR943" s="11"/>
      <c r="AS943" s="11"/>
      <c r="AT943" s="11"/>
      <c r="AU943" s="11"/>
      <c r="AV943" s="11"/>
      <c r="AW943" s="11"/>
      <c r="AX943" s="11"/>
      <c r="AY943" s="11"/>
      <c r="AZ943" s="11"/>
    </row>
    <row r="944" ht="15.75" customHeight="1">
      <c r="A944" s="12"/>
      <c r="B944" s="13"/>
      <c r="C944" s="14"/>
      <c r="D944" s="15"/>
      <c r="E944" s="15"/>
      <c r="F944" s="15"/>
      <c r="G944" s="15"/>
      <c r="H944" s="15"/>
      <c r="I944" s="15"/>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8"/>
      <c r="AL944" s="9"/>
      <c r="AM944" s="9"/>
      <c r="AN944" s="11"/>
      <c r="AO944" s="11"/>
      <c r="AP944" s="11"/>
      <c r="AQ944" s="11"/>
      <c r="AR944" s="11"/>
      <c r="AS944" s="11"/>
      <c r="AT944" s="11"/>
      <c r="AU944" s="11"/>
      <c r="AV944" s="11"/>
      <c r="AW944" s="11"/>
      <c r="AX944" s="11"/>
      <c r="AY944" s="11"/>
      <c r="AZ944" s="11"/>
    </row>
    <row r="945" ht="15.75" customHeight="1">
      <c r="A945" s="12"/>
      <c r="B945" s="13"/>
      <c r="C945" s="14"/>
      <c r="D945" s="15"/>
      <c r="E945" s="15"/>
      <c r="F945" s="15"/>
      <c r="G945" s="15"/>
      <c r="H945" s="15"/>
      <c r="I945" s="15"/>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8"/>
      <c r="AL945" s="9"/>
      <c r="AM945" s="9"/>
      <c r="AN945" s="11"/>
      <c r="AO945" s="11"/>
      <c r="AP945" s="11"/>
      <c r="AQ945" s="11"/>
      <c r="AR945" s="11"/>
      <c r="AS945" s="11"/>
      <c r="AT945" s="11"/>
      <c r="AU945" s="11"/>
      <c r="AV945" s="11"/>
      <c r="AW945" s="11"/>
      <c r="AX945" s="11"/>
      <c r="AY945" s="11"/>
      <c r="AZ945" s="11"/>
    </row>
    <row r="946" ht="15.75" customHeight="1">
      <c r="A946" s="12"/>
      <c r="B946" s="13"/>
      <c r="C946" s="14"/>
      <c r="D946" s="15"/>
      <c r="E946" s="15"/>
      <c r="F946" s="15"/>
      <c r="G946" s="15"/>
      <c r="H946" s="15"/>
      <c r="I946" s="15"/>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8"/>
      <c r="AL946" s="9"/>
      <c r="AM946" s="9"/>
      <c r="AN946" s="11"/>
      <c r="AO946" s="11"/>
      <c r="AP946" s="11"/>
      <c r="AQ946" s="11"/>
      <c r="AR946" s="11"/>
      <c r="AS946" s="11"/>
      <c r="AT946" s="11"/>
      <c r="AU946" s="11"/>
      <c r="AV946" s="11"/>
      <c r="AW946" s="11"/>
      <c r="AX946" s="11"/>
      <c r="AY946" s="11"/>
      <c r="AZ946" s="11"/>
    </row>
    <row r="947" ht="15.75" customHeight="1">
      <c r="A947" s="12"/>
      <c r="B947" s="13"/>
      <c r="C947" s="14"/>
      <c r="D947" s="15"/>
      <c r="E947" s="15"/>
      <c r="F947" s="15"/>
      <c r="G947" s="15"/>
      <c r="H947" s="15"/>
      <c r="I947" s="15"/>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8"/>
      <c r="AL947" s="9"/>
      <c r="AM947" s="9"/>
      <c r="AN947" s="11"/>
      <c r="AO947" s="11"/>
      <c r="AP947" s="11"/>
      <c r="AQ947" s="11"/>
      <c r="AR947" s="11"/>
      <c r="AS947" s="11"/>
      <c r="AT947" s="11"/>
      <c r="AU947" s="11"/>
      <c r="AV947" s="11"/>
      <c r="AW947" s="11"/>
      <c r="AX947" s="11"/>
      <c r="AY947" s="11"/>
      <c r="AZ947" s="11"/>
    </row>
    <row r="948" ht="15.75" customHeight="1">
      <c r="A948" s="12"/>
      <c r="B948" s="13"/>
      <c r="C948" s="14"/>
      <c r="D948" s="15"/>
      <c r="E948" s="15"/>
      <c r="F948" s="15"/>
      <c r="G948" s="15"/>
      <c r="H948" s="15"/>
      <c r="I948" s="15"/>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8"/>
      <c r="AL948" s="9"/>
      <c r="AM948" s="9"/>
      <c r="AN948" s="11"/>
      <c r="AO948" s="11"/>
      <c r="AP948" s="11"/>
      <c r="AQ948" s="11"/>
      <c r="AR948" s="11"/>
      <c r="AS948" s="11"/>
      <c r="AT948" s="11"/>
      <c r="AU948" s="11"/>
      <c r="AV948" s="11"/>
      <c r="AW948" s="11"/>
      <c r="AX948" s="11"/>
      <c r="AY948" s="11"/>
      <c r="AZ948" s="11"/>
    </row>
    <row r="949" ht="15.75" customHeight="1">
      <c r="A949" s="12"/>
      <c r="B949" s="13"/>
      <c r="C949" s="14"/>
      <c r="D949" s="15"/>
      <c r="E949" s="15"/>
      <c r="F949" s="15"/>
      <c r="G949" s="15"/>
      <c r="H949" s="15"/>
      <c r="I949" s="15"/>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8"/>
      <c r="AL949" s="9"/>
      <c r="AM949" s="9"/>
      <c r="AN949" s="11"/>
      <c r="AO949" s="11"/>
      <c r="AP949" s="11"/>
      <c r="AQ949" s="11"/>
      <c r="AR949" s="11"/>
      <c r="AS949" s="11"/>
      <c r="AT949" s="11"/>
      <c r="AU949" s="11"/>
      <c r="AV949" s="11"/>
      <c r="AW949" s="11"/>
      <c r="AX949" s="11"/>
      <c r="AY949" s="11"/>
      <c r="AZ949" s="11"/>
    </row>
    <row r="950" ht="15.75" customHeight="1">
      <c r="A950" s="12"/>
      <c r="B950" s="13"/>
      <c r="C950" s="14"/>
      <c r="D950" s="15"/>
      <c r="E950" s="15"/>
      <c r="F950" s="15"/>
      <c r="G950" s="15"/>
      <c r="H950" s="15"/>
      <c r="I950" s="15"/>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8"/>
      <c r="AL950" s="9"/>
      <c r="AM950" s="9"/>
      <c r="AN950" s="11"/>
      <c r="AO950" s="11"/>
      <c r="AP950" s="11"/>
      <c r="AQ950" s="11"/>
      <c r="AR950" s="11"/>
      <c r="AS950" s="11"/>
      <c r="AT950" s="11"/>
      <c r="AU950" s="11"/>
      <c r="AV950" s="11"/>
      <c r="AW950" s="11"/>
      <c r="AX950" s="11"/>
      <c r="AY950" s="11"/>
      <c r="AZ950" s="11"/>
    </row>
    <row r="951" ht="15.75" customHeight="1">
      <c r="A951" s="12"/>
      <c r="B951" s="13"/>
      <c r="C951" s="14"/>
      <c r="D951" s="15"/>
      <c r="E951" s="15"/>
      <c r="F951" s="15"/>
      <c r="G951" s="15"/>
      <c r="H951" s="15"/>
      <c r="I951" s="15"/>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8"/>
      <c r="AL951" s="9"/>
      <c r="AM951" s="9"/>
      <c r="AN951" s="11"/>
      <c r="AO951" s="11"/>
      <c r="AP951" s="11"/>
      <c r="AQ951" s="11"/>
      <c r="AR951" s="11"/>
      <c r="AS951" s="11"/>
      <c r="AT951" s="11"/>
      <c r="AU951" s="11"/>
      <c r="AV951" s="11"/>
      <c r="AW951" s="11"/>
      <c r="AX951" s="11"/>
      <c r="AY951" s="11"/>
      <c r="AZ951" s="11"/>
    </row>
    <row r="952" ht="15.75" customHeight="1">
      <c r="A952" s="12"/>
      <c r="B952" s="13"/>
      <c r="C952" s="14"/>
      <c r="D952" s="15"/>
      <c r="E952" s="15"/>
      <c r="F952" s="15"/>
      <c r="G952" s="15"/>
      <c r="H952" s="15"/>
      <c r="I952" s="15"/>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8"/>
      <c r="AL952" s="9"/>
      <c r="AM952" s="9"/>
      <c r="AN952" s="11"/>
      <c r="AO952" s="11"/>
      <c r="AP952" s="11"/>
      <c r="AQ952" s="11"/>
      <c r="AR952" s="11"/>
      <c r="AS952" s="11"/>
      <c r="AT952" s="11"/>
      <c r="AU952" s="11"/>
      <c r="AV952" s="11"/>
      <c r="AW952" s="11"/>
      <c r="AX952" s="11"/>
      <c r="AY952" s="11"/>
      <c r="AZ952" s="11"/>
    </row>
    <row r="953" ht="15.75" customHeight="1">
      <c r="A953" s="12"/>
      <c r="B953" s="13"/>
      <c r="C953" s="14"/>
      <c r="D953" s="15"/>
      <c r="E953" s="15"/>
      <c r="F953" s="15"/>
      <c r="G953" s="15"/>
      <c r="H953" s="15"/>
      <c r="I953" s="15"/>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8"/>
      <c r="AL953" s="9"/>
      <c r="AM953" s="9"/>
      <c r="AN953" s="11"/>
      <c r="AO953" s="11"/>
      <c r="AP953" s="11"/>
      <c r="AQ953" s="11"/>
      <c r="AR953" s="11"/>
      <c r="AS953" s="11"/>
      <c r="AT953" s="11"/>
      <c r="AU953" s="11"/>
      <c r="AV953" s="11"/>
      <c r="AW953" s="11"/>
      <c r="AX953" s="11"/>
      <c r="AY953" s="11"/>
      <c r="AZ953" s="11"/>
    </row>
    <row r="954" ht="15.75" customHeight="1">
      <c r="A954" s="12"/>
      <c r="B954" s="13"/>
      <c r="C954" s="14"/>
      <c r="D954" s="15"/>
      <c r="E954" s="15"/>
      <c r="F954" s="15"/>
      <c r="G954" s="15"/>
      <c r="H954" s="15"/>
      <c r="I954" s="15"/>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8"/>
      <c r="AL954" s="9"/>
      <c r="AM954" s="9"/>
      <c r="AN954" s="11"/>
      <c r="AO954" s="11"/>
      <c r="AP954" s="11"/>
      <c r="AQ954" s="11"/>
      <c r="AR954" s="11"/>
      <c r="AS954" s="11"/>
      <c r="AT954" s="11"/>
      <c r="AU954" s="11"/>
      <c r="AV954" s="11"/>
      <c r="AW954" s="11"/>
      <c r="AX954" s="11"/>
      <c r="AY954" s="11"/>
      <c r="AZ954" s="11"/>
    </row>
    <row r="955" ht="15.75" customHeight="1">
      <c r="A955" s="12"/>
      <c r="B955" s="13"/>
      <c r="C955" s="14"/>
      <c r="D955" s="15"/>
      <c r="E955" s="15"/>
      <c r="F955" s="15"/>
      <c r="G955" s="15"/>
      <c r="H955" s="15"/>
      <c r="I955" s="15"/>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8"/>
      <c r="AL955" s="9"/>
      <c r="AM955" s="9"/>
      <c r="AN955" s="11"/>
      <c r="AO955" s="11"/>
      <c r="AP955" s="11"/>
      <c r="AQ955" s="11"/>
      <c r="AR955" s="11"/>
      <c r="AS955" s="11"/>
      <c r="AT955" s="11"/>
      <c r="AU955" s="11"/>
      <c r="AV955" s="11"/>
      <c r="AW955" s="11"/>
      <c r="AX955" s="11"/>
      <c r="AY955" s="11"/>
      <c r="AZ955" s="11"/>
    </row>
    <row r="956" ht="15.75" customHeight="1">
      <c r="A956" s="12"/>
      <c r="B956" s="13"/>
      <c r="C956" s="14"/>
      <c r="D956" s="15"/>
      <c r="E956" s="15"/>
      <c r="F956" s="15"/>
      <c r="G956" s="15"/>
      <c r="H956" s="15"/>
      <c r="I956" s="15"/>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8"/>
      <c r="AL956" s="9"/>
      <c r="AM956" s="9"/>
      <c r="AN956" s="11"/>
      <c r="AO956" s="11"/>
      <c r="AP956" s="11"/>
      <c r="AQ956" s="11"/>
      <c r="AR956" s="11"/>
      <c r="AS956" s="11"/>
      <c r="AT956" s="11"/>
      <c r="AU956" s="11"/>
      <c r="AV956" s="11"/>
      <c r="AW956" s="11"/>
      <c r="AX956" s="11"/>
      <c r="AY956" s="11"/>
      <c r="AZ956" s="11"/>
    </row>
    <row r="957" ht="15.75" customHeight="1">
      <c r="A957" s="12"/>
      <c r="B957" s="13"/>
      <c r="C957" s="14"/>
      <c r="D957" s="15"/>
      <c r="E957" s="15"/>
      <c r="F957" s="15"/>
      <c r="G957" s="15"/>
      <c r="H957" s="15"/>
      <c r="I957" s="15"/>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8"/>
      <c r="AL957" s="9"/>
      <c r="AM957" s="9"/>
      <c r="AN957" s="11"/>
      <c r="AO957" s="11"/>
      <c r="AP957" s="11"/>
      <c r="AQ957" s="11"/>
      <c r="AR957" s="11"/>
      <c r="AS957" s="11"/>
      <c r="AT957" s="11"/>
      <c r="AU957" s="11"/>
      <c r="AV957" s="11"/>
      <c r="AW957" s="11"/>
      <c r="AX957" s="11"/>
      <c r="AY957" s="11"/>
      <c r="AZ957" s="11"/>
    </row>
    <row r="958" ht="15.75" customHeight="1">
      <c r="A958" s="12"/>
      <c r="B958" s="13"/>
      <c r="C958" s="14"/>
      <c r="D958" s="15"/>
      <c r="E958" s="15"/>
      <c r="F958" s="15"/>
      <c r="G958" s="15"/>
      <c r="H958" s="15"/>
      <c r="I958" s="15"/>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8"/>
      <c r="AL958" s="9"/>
      <c r="AM958" s="9"/>
      <c r="AN958" s="11"/>
      <c r="AO958" s="11"/>
      <c r="AP958" s="11"/>
      <c r="AQ958" s="11"/>
      <c r="AR958" s="11"/>
      <c r="AS958" s="11"/>
      <c r="AT958" s="11"/>
      <c r="AU958" s="11"/>
      <c r="AV958" s="11"/>
      <c r="AW958" s="11"/>
      <c r="AX958" s="11"/>
      <c r="AY958" s="11"/>
      <c r="AZ958" s="11"/>
    </row>
    <row r="959" ht="15.75" customHeight="1">
      <c r="A959" s="12"/>
      <c r="B959" s="13"/>
      <c r="C959" s="14"/>
      <c r="D959" s="15"/>
      <c r="E959" s="15"/>
      <c r="F959" s="15"/>
      <c r="G959" s="15"/>
      <c r="H959" s="15"/>
      <c r="I959" s="15"/>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8"/>
      <c r="AL959" s="9"/>
      <c r="AM959" s="9"/>
      <c r="AN959" s="11"/>
      <c r="AO959" s="11"/>
      <c r="AP959" s="11"/>
      <c r="AQ959" s="11"/>
      <c r="AR959" s="11"/>
      <c r="AS959" s="11"/>
      <c r="AT959" s="11"/>
      <c r="AU959" s="11"/>
      <c r="AV959" s="11"/>
      <c r="AW959" s="11"/>
      <c r="AX959" s="11"/>
      <c r="AY959" s="11"/>
      <c r="AZ959" s="11"/>
    </row>
    <row r="960" ht="15.75" customHeight="1">
      <c r="A960" s="12"/>
      <c r="B960" s="13"/>
      <c r="C960" s="14"/>
      <c r="D960" s="15"/>
      <c r="E960" s="15"/>
      <c r="F960" s="15"/>
      <c r="G960" s="15"/>
      <c r="H960" s="15"/>
      <c r="I960" s="15"/>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8"/>
      <c r="AL960" s="9"/>
      <c r="AM960" s="9"/>
      <c r="AN960" s="11"/>
      <c r="AO960" s="11"/>
      <c r="AP960" s="11"/>
      <c r="AQ960" s="11"/>
      <c r="AR960" s="11"/>
      <c r="AS960" s="11"/>
      <c r="AT960" s="11"/>
      <c r="AU960" s="11"/>
      <c r="AV960" s="11"/>
      <c r="AW960" s="11"/>
      <c r="AX960" s="11"/>
      <c r="AY960" s="11"/>
      <c r="AZ960" s="11"/>
    </row>
    <row r="961" ht="15.75" customHeight="1">
      <c r="A961" s="12"/>
      <c r="B961" s="13"/>
      <c r="C961" s="14"/>
      <c r="D961" s="15"/>
      <c r="E961" s="15"/>
      <c r="F961" s="15"/>
      <c r="G961" s="15"/>
      <c r="H961" s="15"/>
      <c r="I961" s="15"/>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8"/>
      <c r="AL961" s="9"/>
      <c r="AM961" s="9"/>
      <c r="AN961" s="11"/>
      <c r="AO961" s="11"/>
      <c r="AP961" s="11"/>
      <c r="AQ961" s="11"/>
      <c r="AR961" s="11"/>
      <c r="AS961" s="11"/>
      <c r="AT961" s="11"/>
      <c r="AU961" s="11"/>
      <c r="AV961" s="11"/>
      <c r="AW961" s="11"/>
      <c r="AX961" s="11"/>
      <c r="AY961" s="11"/>
      <c r="AZ961" s="11"/>
    </row>
    <row r="962" ht="15.75" customHeight="1">
      <c r="A962" s="12"/>
      <c r="B962" s="13"/>
      <c r="C962" s="14"/>
      <c r="D962" s="15"/>
      <c r="E962" s="15"/>
      <c r="F962" s="15"/>
      <c r="G962" s="15"/>
      <c r="H962" s="15"/>
      <c r="I962" s="15"/>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8"/>
      <c r="AL962" s="9"/>
      <c r="AM962" s="9"/>
      <c r="AN962" s="11"/>
      <c r="AO962" s="11"/>
      <c r="AP962" s="11"/>
      <c r="AQ962" s="11"/>
      <c r="AR962" s="11"/>
      <c r="AS962" s="11"/>
      <c r="AT962" s="11"/>
      <c r="AU962" s="11"/>
      <c r="AV962" s="11"/>
      <c r="AW962" s="11"/>
      <c r="AX962" s="11"/>
      <c r="AY962" s="11"/>
      <c r="AZ962" s="11"/>
    </row>
    <row r="963" ht="15.75" customHeight="1">
      <c r="A963" s="12"/>
      <c r="B963" s="13"/>
      <c r="C963" s="14"/>
      <c r="D963" s="15"/>
      <c r="E963" s="15"/>
      <c r="F963" s="15"/>
      <c r="G963" s="15"/>
      <c r="H963" s="15"/>
      <c r="I963" s="15"/>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8"/>
      <c r="AL963" s="9"/>
      <c r="AM963" s="9"/>
      <c r="AN963" s="11"/>
      <c r="AO963" s="11"/>
      <c r="AP963" s="11"/>
      <c r="AQ963" s="11"/>
      <c r="AR963" s="11"/>
      <c r="AS963" s="11"/>
      <c r="AT963" s="11"/>
      <c r="AU963" s="11"/>
      <c r="AV963" s="11"/>
      <c r="AW963" s="11"/>
      <c r="AX963" s="11"/>
      <c r="AY963" s="11"/>
      <c r="AZ963" s="11"/>
    </row>
    <row r="964" ht="15.75" customHeight="1">
      <c r="A964" s="12"/>
      <c r="B964" s="13"/>
      <c r="C964" s="14"/>
      <c r="D964" s="15"/>
      <c r="E964" s="15"/>
      <c r="F964" s="15"/>
      <c r="G964" s="15"/>
      <c r="H964" s="15"/>
      <c r="I964" s="15"/>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8"/>
      <c r="AL964" s="9"/>
      <c r="AM964" s="9"/>
      <c r="AN964" s="11"/>
      <c r="AO964" s="11"/>
      <c r="AP964" s="11"/>
      <c r="AQ964" s="11"/>
      <c r="AR964" s="11"/>
      <c r="AS964" s="11"/>
      <c r="AT964" s="11"/>
      <c r="AU964" s="11"/>
      <c r="AV964" s="11"/>
      <c r="AW964" s="11"/>
      <c r="AX964" s="11"/>
      <c r="AY964" s="11"/>
      <c r="AZ964" s="11"/>
    </row>
    <row r="965" ht="15.75" customHeight="1">
      <c r="A965" s="12"/>
      <c r="B965" s="13"/>
      <c r="C965" s="14"/>
      <c r="D965" s="15"/>
      <c r="E965" s="15"/>
      <c r="F965" s="15"/>
      <c r="G965" s="15"/>
      <c r="H965" s="15"/>
      <c r="I965" s="15"/>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8"/>
      <c r="AL965" s="9"/>
      <c r="AM965" s="9"/>
      <c r="AN965" s="11"/>
      <c r="AO965" s="11"/>
      <c r="AP965" s="11"/>
      <c r="AQ965" s="11"/>
      <c r="AR965" s="11"/>
      <c r="AS965" s="11"/>
      <c r="AT965" s="11"/>
      <c r="AU965" s="11"/>
      <c r="AV965" s="11"/>
      <c r="AW965" s="11"/>
      <c r="AX965" s="11"/>
      <c r="AY965" s="11"/>
      <c r="AZ965" s="11"/>
    </row>
    <row r="966" ht="15.75" customHeight="1">
      <c r="A966" s="12"/>
      <c r="B966" s="13"/>
      <c r="C966" s="14"/>
      <c r="D966" s="15"/>
      <c r="E966" s="15"/>
      <c r="F966" s="15"/>
      <c r="G966" s="15"/>
      <c r="H966" s="15"/>
      <c r="I966" s="15"/>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8"/>
      <c r="AL966" s="9"/>
      <c r="AM966" s="9"/>
      <c r="AN966" s="11"/>
      <c r="AO966" s="11"/>
      <c r="AP966" s="11"/>
      <c r="AQ966" s="11"/>
      <c r="AR966" s="11"/>
      <c r="AS966" s="11"/>
      <c r="AT966" s="11"/>
      <c r="AU966" s="11"/>
      <c r="AV966" s="11"/>
      <c r="AW966" s="11"/>
      <c r="AX966" s="11"/>
      <c r="AY966" s="11"/>
      <c r="AZ966" s="11"/>
    </row>
    <row r="967" ht="15.75" customHeight="1">
      <c r="A967" s="12"/>
      <c r="B967" s="13"/>
      <c r="C967" s="14"/>
      <c r="D967" s="15"/>
      <c r="E967" s="15"/>
      <c r="F967" s="15"/>
      <c r="G967" s="15"/>
      <c r="H967" s="15"/>
      <c r="I967" s="15"/>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8"/>
      <c r="AL967" s="9"/>
      <c r="AM967" s="9"/>
      <c r="AN967" s="11"/>
      <c r="AO967" s="11"/>
      <c r="AP967" s="11"/>
      <c r="AQ967" s="11"/>
      <c r="AR967" s="11"/>
      <c r="AS967" s="11"/>
      <c r="AT967" s="11"/>
      <c r="AU967" s="11"/>
      <c r="AV967" s="11"/>
      <c r="AW967" s="11"/>
      <c r="AX967" s="11"/>
      <c r="AY967" s="11"/>
      <c r="AZ967" s="11"/>
    </row>
    <row r="968" ht="15.75" customHeight="1">
      <c r="A968" s="12"/>
      <c r="B968" s="13"/>
      <c r="C968" s="14"/>
      <c r="D968" s="15"/>
      <c r="E968" s="15"/>
      <c r="F968" s="15"/>
      <c r="G968" s="15"/>
      <c r="H968" s="15"/>
      <c r="I968" s="15"/>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8"/>
      <c r="AL968" s="9"/>
      <c r="AM968" s="9"/>
      <c r="AN968" s="11"/>
      <c r="AO968" s="11"/>
      <c r="AP968" s="11"/>
      <c r="AQ968" s="11"/>
      <c r="AR968" s="11"/>
      <c r="AS968" s="11"/>
      <c r="AT968" s="11"/>
      <c r="AU968" s="11"/>
      <c r="AV968" s="11"/>
      <c r="AW968" s="11"/>
      <c r="AX968" s="11"/>
      <c r="AY968" s="11"/>
      <c r="AZ968" s="11"/>
    </row>
    <row r="969" ht="15.75" customHeight="1">
      <c r="A969" s="12"/>
      <c r="B969" s="13"/>
      <c r="C969" s="14"/>
      <c r="D969" s="15"/>
      <c r="E969" s="15"/>
      <c r="F969" s="15"/>
      <c r="G969" s="15"/>
      <c r="H969" s="15"/>
      <c r="I969" s="15"/>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8"/>
      <c r="AL969" s="9"/>
      <c r="AM969" s="9"/>
      <c r="AN969" s="11"/>
      <c r="AO969" s="11"/>
      <c r="AP969" s="11"/>
      <c r="AQ969" s="11"/>
      <c r="AR969" s="11"/>
      <c r="AS969" s="11"/>
      <c r="AT969" s="11"/>
      <c r="AU969" s="11"/>
      <c r="AV969" s="11"/>
      <c r="AW969" s="11"/>
      <c r="AX969" s="11"/>
      <c r="AY969" s="11"/>
      <c r="AZ969" s="11"/>
    </row>
    <row r="970" ht="15.75" customHeight="1">
      <c r="A970" s="12"/>
      <c r="B970" s="13"/>
      <c r="C970" s="14"/>
      <c r="D970" s="15"/>
      <c r="E970" s="15"/>
      <c r="F970" s="15"/>
      <c r="G970" s="15"/>
      <c r="H970" s="15"/>
      <c r="I970" s="15"/>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8"/>
      <c r="AL970" s="9"/>
      <c r="AM970" s="9"/>
      <c r="AN970" s="11"/>
      <c r="AO970" s="11"/>
      <c r="AP970" s="11"/>
      <c r="AQ970" s="11"/>
      <c r="AR970" s="11"/>
      <c r="AS970" s="11"/>
      <c r="AT970" s="11"/>
      <c r="AU970" s="11"/>
      <c r="AV970" s="11"/>
      <c r="AW970" s="11"/>
      <c r="AX970" s="11"/>
      <c r="AY970" s="11"/>
      <c r="AZ970" s="11"/>
    </row>
    <row r="971" ht="15.75" customHeight="1">
      <c r="A971" s="12"/>
      <c r="B971" s="13"/>
      <c r="C971" s="14"/>
      <c r="D971" s="15"/>
      <c r="E971" s="15"/>
      <c r="F971" s="15"/>
      <c r="G971" s="15"/>
      <c r="H971" s="15"/>
      <c r="I971" s="15"/>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8"/>
      <c r="AL971" s="9"/>
      <c r="AM971" s="9"/>
      <c r="AN971" s="11"/>
      <c r="AO971" s="11"/>
      <c r="AP971" s="11"/>
      <c r="AQ971" s="11"/>
      <c r="AR971" s="11"/>
      <c r="AS971" s="11"/>
      <c r="AT971" s="11"/>
      <c r="AU971" s="11"/>
      <c r="AV971" s="11"/>
      <c r="AW971" s="11"/>
      <c r="AX971" s="11"/>
      <c r="AY971" s="11"/>
      <c r="AZ971" s="11"/>
    </row>
    <row r="972" ht="15.75" customHeight="1">
      <c r="A972" s="12"/>
      <c r="B972" s="13"/>
      <c r="C972" s="14"/>
      <c r="D972" s="15"/>
      <c r="E972" s="15"/>
      <c r="F972" s="15"/>
      <c r="G972" s="15"/>
      <c r="H972" s="15"/>
      <c r="I972" s="15"/>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8"/>
      <c r="AL972" s="9"/>
      <c r="AM972" s="9"/>
      <c r="AN972" s="11"/>
      <c r="AO972" s="11"/>
      <c r="AP972" s="11"/>
      <c r="AQ972" s="11"/>
      <c r="AR972" s="11"/>
      <c r="AS972" s="11"/>
      <c r="AT972" s="11"/>
      <c r="AU972" s="11"/>
      <c r="AV972" s="11"/>
      <c r="AW972" s="11"/>
      <c r="AX972" s="11"/>
      <c r="AY972" s="11"/>
      <c r="AZ972" s="11"/>
    </row>
    <row r="973" ht="15.75" customHeight="1">
      <c r="A973" s="12"/>
      <c r="B973" s="13"/>
      <c r="C973" s="14"/>
      <c r="D973" s="15"/>
      <c r="E973" s="15"/>
      <c r="F973" s="15"/>
      <c r="G973" s="15"/>
      <c r="H973" s="15"/>
      <c r="I973" s="15"/>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8"/>
      <c r="AL973" s="9"/>
      <c r="AM973" s="9"/>
      <c r="AN973" s="11"/>
      <c r="AO973" s="11"/>
      <c r="AP973" s="11"/>
      <c r="AQ973" s="11"/>
      <c r="AR973" s="11"/>
      <c r="AS973" s="11"/>
      <c r="AT973" s="11"/>
      <c r="AU973" s="11"/>
      <c r="AV973" s="11"/>
      <c r="AW973" s="11"/>
      <c r="AX973" s="11"/>
      <c r="AY973" s="11"/>
      <c r="AZ973" s="11"/>
    </row>
    <row r="974" ht="15.75" customHeight="1">
      <c r="A974" s="12"/>
      <c r="B974" s="13"/>
      <c r="C974" s="14"/>
      <c r="D974" s="15"/>
      <c r="E974" s="15"/>
      <c r="F974" s="15"/>
      <c r="G974" s="15"/>
      <c r="H974" s="15"/>
      <c r="I974" s="15"/>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8"/>
      <c r="AL974" s="9"/>
      <c r="AM974" s="9"/>
      <c r="AN974" s="11"/>
      <c r="AO974" s="11"/>
      <c r="AP974" s="11"/>
      <c r="AQ974" s="11"/>
      <c r="AR974" s="11"/>
      <c r="AS974" s="11"/>
      <c r="AT974" s="11"/>
      <c r="AU974" s="11"/>
      <c r="AV974" s="11"/>
      <c r="AW974" s="11"/>
      <c r="AX974" s="11"/>
      <c r="AY974" s="11"/>
      <c r="AZ974" s="11"/>
    </row>
    <row r="975" ht="15.75" customHeight="1">
      <c r="A975" s="12"/>
      <c r="B975" s="13"/>
      <c r="C975" s="14"/>
      <c r="D975" s="15"/>
      <c r="E975" s="15"/>
      <c r="F975" s="15"/>
      <c r="G975" s="15"/>
      <c r="H975" s="15"/>
      <c r="I975" s="15"/>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8"/>
      <c r="AL975" s="9"/>
      <c r="AM975" s="9"/>
      <c r="AN975" s="11"/>
      <c r="AO975" s="11"/>
      <c r="AP975" s="11"/>
      <c r="AQ975" s="11"/>
      <c r="AR975" s="11"/>
      <c r="AS975" s="11"/>
      <c r="AT975" s="11"/>
      <c r="AU975" s="11"/>
      <c r="AV975" s="11"/>
      <c r="AW975" s="11"/>
      <c r="AX975" s="11"/>
      <c r="AY975" s="11"/>
      <c r="AZ975" s="11"/>
    </row>
    <row r="976" ht="15.75" customHeight="1">
      <c r="A976" s="12"/>
      <c r="B976" s="13"/>
      <c r="C976" s="14"/>
      <c r="D976" s="15"/>
      <c r="E976" s="15"/>
      <c r="F976" s="15"/>
      <c r="G976" s="15"/>
      <c r="H976" s="15"/>
      <c r="I976" s="15"/>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8"/>
      <c r="AL976" s="9"/>
      <c r="AM976" s="9"/>
      <c r="AN976" s="11"/>
      <c r="AO976" s="11"/>
      <c r="AP976" s="11"/>
      <c r="AQ976" s="11"/>
      <c r="AR976" s="11"/>
      <c r="AS976" s="11"/>
      <c r="AT976" s="11"/>
      <c r="AU976" s="11"/>
      <c r="AV976" s="11"/>
      <c r="AW976" s="11"/>
      <c r="AX976" s="11"/>
      <c r="AY976" s="11"/>
      <c r="AZ976" s="11"/>
    </row>
    <row r="977" ht="15.75" customHeight="1">
      <c r="A977" s="12"/>
      <c r="B977" s="13"/>
      <c r="C977" s="14"/>
      <c r="D977" s="15"/>
      <c r="E977" s="15"/>
      <c r="F977" s="15"/>
      <c r="G977" s="15"/>
      <c r="H977" s="15"/>
      <c r="I977" s="15"/>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8"/>
      <c r="AL977" s="9"/>
      <c r="AM977" s="9"/>
      <c r="AN977" s="11"/>
      <c r="AO977" s="11"/>
      <c r="AP977" s="11"/>
      <c r="AQ977" s="11"/>
      <c r="AR977" s="11"/>
      <c r="AS977" s="11"/>
      <c r="AT977" s="11"/>
      <c r="AU977" s="11"/>
      <c r="AV977" s="11"/>
      <c r="AW977" s="11"/>
      <c r="AX977" s="11"/>
      <c r="AY977" s="11"/>
      <c r="AZ977" s="11"/>
    </row>
    <row r="978" ht="15.75" customHeight="1">
      <c r="A978" s="12"/>
      <c r="B978" s="13"/>
      <c r="C978" s="14"/>
      <c r="D978" s="15"/>
      <c r="E978" s="15"/>
      <c r="F978" s="15"/>
      <c r="G978" s="15"/>
      <c r="H978" s="15"/>
      <c r="I978" s="15"/>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8"/>
      <c r="AL978" s="9"/>
      <c r="AM978" s="9"/>
      <c r="AN978" s="11"/>
      <c r="AO978" s="11"/>
      <c r="AP978" s="11"/>
      <c r="AQ978" s="11"/>
      <c r="AR978" s="11"/>
      <c r="AS978" s="11"/>
      <c r="AT978" s="11"/>
      <c r="AU978" s="11"/>
      <c r="AV978" s="11"/>
      <c r="AW978" s="11"/>
      <c r="AX978" s="11"/>
      <c r="AY978" s="11"/>
      <c r="AZ978" s="11"/>
    </row>
    <row r="979" ht="15.75" customHeight="1">
      <c r="A979" s="12"/>
      <c r="B979" s="13"/>
      <c r="C979" s="14"/>
      <c r="D979" s="15"/>
      <c r="E979" s="15"/>
      <c r="F979" s="15"/>
      <c r="G979" s="15"/>
      <c r="H979" s="15"/>
      <c r="I979" s="15"/>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8"/>
      <c r="AL979" s="9"/>
      <c r="AM979" s="9"/>
      <c r="AN979" s="11"/>
      <c r="AO979" s="11"/>
      <c r="AP979" s="11"/>
      <c r="AQ979" s="11"/>
      <c r="AR979" s="11"/>
      <c r="AS979" s="11"/>
      <c r="AT979" s="11"/>
      <c r="AU979" s="11"/>
      <c r="AV979" s="11"/>
      <c r="AW979" s="11"/>
      <c r="AX979" s="11"/>
      <c r="AY979" s="11"/>
      <c r="AZ979" s="11"/>
    </row>
    <row r="980" ht="15.75" customHeight="1">
      <c r="A980" s="12"/>
      <c r="B980" s="13"/>
      <c r="C980" s="14"/>
      <c r="D980" s="15"/>
      <c r="E980" s="15"/>
      <c r="F980" s="15"/>
      <c r="G980" s="15"/>
      <c r="H980" s="15"/>
      <c r="I980" s="15"/>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8"/>
      <c r="AL980" s="9"/>
      <c r="AM980" s="9"/>
      <c r="AN980" s="11"/>
      <c r="AO980" s="11"/>
      <c r="AP980" s="11"/>
      <c r="AQ980" s="11"/>
      <c r="AR980" s="11"/>
      <c r="AS980" s="11"/>
      <c r="AT980" s="11"/>
      <c r="AU980" s="11"/>
      <c r="AV980" s="11"/>
      <c r="AW980" s="11"/>
      <c r="AX980" s="11"/>
      <c r="AY980" s="11"/>
      <c r="AZ980" s="11"/>
    </row>
    <row r="981" ht="15.75" customHeight="1">
      <c r="A981" s="12"/>
      <c r="B981" s="13"/>
      <c r="C981" s="14"/>
      <c r="D981" s="15"/>
      <c r="E981" s="15"/>
      <c r="F981" s="15"/>
      <c r="G981" s="15"/>
      <c r="H981" s="15"/>
      <c r="I981" s="15"/>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8"/>
      <c r="AL981" s="9"/>
      <c r="AM981" s="9"/>
      <c r="AN981" s="11"/>
      <c r="AO981" s="11"/>
      <c r="AP981" s="11"/>
      <c r="AQ981" s="11"/>
      <c r="AR981" s="11"/>
      <c r="AS981" s="11"/>
      <c r="AT981" s="11"/>
      <c r="AU981" s="11"/>
      <c r="AV981" s="11"/>
      <c r="AW981" s="11"/>
      <c r="AX981" s="11"/>
      <c r="AY981" s="11"/>
      <c r="AZ981" s="11"/>
    </row>
    <row r="982" ht="15.75" customHeight="1">
      <c r="A982" s="12"/>
      <c r="B982" s="13"/>
      <c r="C982" s="14"/>
      <c r="D982" s="15"/>
      <c r="E982" s="15"/>
      <c r="F982" s="15"/>
      <c r="G982" s="15"/>
      <c r="H982" s="15"/>
      <c r="I982" s="15"/>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8"/>
      <c r="AL982" s="9"/>
      <c r="AM982" s="9"/>
      <c r="AN982" s="11"/>
      <c r="AO982" s="11"/>
      <c r="AP982" s="11"/>
      <c r="AQ982" s="11"/>
      <c r="AR982" s="11"/>
      <c r="AS982" s="11"/>
      <c r="AT982" s="11"/>
      <c r="AU982" s="11"/>
      <c r="AV982" s="11"/>
      <c r="AW982" s="11"/>
      <c r="AX982" s="11"/>
      <c r="AY982" s="11"/>
      <c r="AZ982" s="11"/>
    </row>
    <row r="983" ht="15.75" customHeight="1">
      <c r="A983" s="12"/>
      <c r="B983" s="13"/>
      <c r="C983" s="14"/>
      <c r="D983" s="15"/>
      <c r="E983" s="15"/>
      <c r="F983" s="15"/>
      <c r="G983" s="15"/>
      <c r="H983" s="15"/>
      <c r="I983" s="15"/>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8"/>
      <c r="AL983" s="9"/>
      <c r="AM983" s="9"/>
      <c r="AN983" s="11"/>
      <c r="AO983" s="11"/>
      <c r="AP983" s="11"/>
      <c r="AQ983" s="11"/>
      <c r="AR983" s="11"/>
      <c r="AS983" s="11"/>
      <c r="AT983" s="11"/>
      <c r="AU983" s="11"/>
      <c r="AV983" s="11"/>
      <c r="AW983" s="11"/>
      <c r="AX983" s="11"/>
      <c r="AY983" s="11"/>
      <c r="AZ983" s="11"/>
    </row>
    <row r="984" ht="15.75" customHeight="1">
      <c r="A984" s="12"/>
      <c r="B984" s="13"/>
      <c r="C984" s="14"/>
      <c r="D984" s="15"/>
      <c r="E984" s="15"/>
      <c r="F984" s="15"/>
      <c r="G984" s="15"/>
      <c r="H984" s="15"/>
      <c r="I984" s="15"/>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8"/>
      <c r="AL984" s="9"/>
      <c r="AM984" s="9"/>
      <c r="AN984" s="11"/>
      <c r="AO984" s="11"/>
      <c r="AP984" s="11"/>
      <c r="AQ984" s="11"/>
      <c r="AR984" s="11"/>
      <c r="AS984" s="11"/>
      <c r="AT984" s="11"/>
      <c r="AU984" s="11"/>
      <c r="AV984" s="11"/>
      <c r="AW984" s="11"/>
      <c r="AX984" s="11"/>
      <c r="AY984" s="11"/>
      <c r="AZ984" s="11"/>
    </row>
    <row r="985" ht="15.75" customHeight="1">
      <c r="A985" s="12"/>
      <c r="B985" s="13"/>
      <c r="C985" s="14"/>
      <c r="D985" s="15"/>
      <c r="E985" s="15"/>
      <c r="F985" s="15"/>
      <c r="G985" s="15"/>
      <c r="H985" s="15"/>
      <c r="I985" s="15"/>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8"/>
      <c r="AL985" s="9"/>
      <c r="AM985" s="9"/>
      <c r="AN985" s="11"/>
      <c r="AO985" s="11"/>
      <c r="AP985" s="11"/>
      <c r="AQ985" s="11"/>
      <c r="AR985" s="11"/>
      <c r="AS985" s="11"/>
      <c r="AT985" s="11"/>
      <c r="AU985" s="11"/>
      <c r="AV985" s="11"/>
      <c r="AW985" s="11"/>
      <c r="AX985" s="11"/>
      <c r="AY985" s="11"/>
      <c r="AZ985" s="11"/>
    </row>
    <row r="986" ht="15.75" customHeight="1">
      <c r="A986" s="12"/>
      <c r="B986" s="13"/>
      <c r="C986" s="14"/>
      <c r="D986" s="15"/>
      <c r="E986" s="15"/>
      <c r="F986" s="15"/>
      <c r="G986" s="15"/>
      <c r="H986" s="15"/>
      <c r="I986" s="15"/>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8"/>
      <c r="AL986" s="9"/>
      <c r="AM986" s="9"/>
      <c r="AN986" s="11"/>
      <c r="AO986" s="11"/>
      <c r="AP986" s="11"/>
      <c r="AQ986" s="11"/>
      <c r="AR986" s="11"/>
      <c r="AS986" s="11"/>
      <c r="AT986" s="11"/>
      <c r="AU986" s="11"/>
      <c r="AV986" s="11"/>
      <c r="AW986" s="11"/>
      <c r="AX986" s="11"/>
      <c r="AY986" s="11"/>
      <c r="AZ986" s="11"/>
    </row>
    <row r="987" ht="15.75" customHeight="1">
      <c r="A987" s="12"/>
      <c r="B987" s="13"/>
      <c r="C987" s="14"/>
      <c r="D987" s="15"/>
      <c r="E987" s="15"/>
      <c r="F987" s="15"/>
      <c r="G987" s="15"/>
      <c r="H987" s="15"/>
      <c r="I987" s="15"/>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8"/>
      <c r="AL987" s="9"/>
      <c r="AM987" s="9"/>
      <c r="AN987" s="11"/>
      <c r="AO987" s="11"/>
      <c r="AP987" s="11"/>
      <c r="AQ987" s="11"/>
      <c r="AR987" s="11"/>
      <c r="AS987" s="11"/>
      <c r="AT987" s="11"/>
      <c r="AU987" s="11"/>
      <c r="AV987" s="11"/>
      <c r="AW987" s="11"/>
      <c r="AX987" s="11"/>
      <c r="AY987" s="11"/>
      <c r="AZ987" s="11"/>
    </row>
    <row r="988" ht="15.75" customHeight="1">
      <c r="A988" s="12"/>
      <c r="B988" s="13"/>
      <c r="C988" s="14"/>
      <c r="D988" s="15"/>
      <c r="E988" s="15"/>
      <c r="F988" s="15"/>
      <c r="G988" s="15"/>
      <c r="H988" s="15"/>
      <c r="I988" s="15"/>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8"/>
      <c r="AL988" s="9"/>
      <c r="AM988" s="9"/>
      <c r="AN988" s="11"/>
      <c r="AO988" s="11"/>
      <c r="AP988" s="11"/>
      <c r="AQ988" s="11"/>
      <c r="AR988" s="11"/>
      <c r="AS988" s="11"/>
      <c r="AT988" s="11"/>
      <c r="AU988" s="11"/>
      <c r="AV988" s="11"/>
      <c r="AW988" s="11"/>
      <c r="AX988" s="11"/>
      <c r="AY988" s="11"/>
      <c r="AZ988" s="11"/>
    </row>
    <row r="989" ht="15.75" customHeight="1">
      <c r="A989" s="12"/>
      <c r="B989" s="13"/>
      <c r="C989" s="14"/>
      <c r="D989" s="15"/>
      <c r="E989" s="15"/>
      <c r="F989" s="15"/>
      <c r="G989" s="15"/>
      <c r="H989" s="15"/>
      <c r="I989" s="15"/>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8"/>
      <c r="AL989" s="9"/>
      <c r="AM989" s="9"/>
      <c r="AN989" s="11"/>
      <c r="AO989" s="11"/>
      <c r="AP989" s="11"/>
      <c r="AQ989" s="11"/>
      <c r="AR989" s="11"/>
      <c r="AS989" s="11"/>
      <c r="AT989" s="11"/>
      <c r="AU989" s="11"/>
      <c r="AV989" s="11"/>
      <c r="AW989" s="11"/>
      <c r="AX989" s="11"/>
      <c r="AY989" s="11"/>
      <c r="AZ989" s="11"/>
    </row>
    <row r="990" ht="15.75" customHeight="1">
      <c r="A990" s="12"/>
      <c r="B990" s="13"/>
      <c r="C990" s="14"/>
      <c r="D990" s="15"/>
      <c r="E990" s="15"/>
      <c r="F990" s="15"/>
      <c r="G990" s="15"/>
      <c r="H990" s="15"/>
      <c r="I990" s="15"/>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8"/>
      <c r="AL990" s="9"/>
      <c r="AM990" s="9"/>
      <c r="AN990" s="11"/>
      <c r="AO990" s="11"/>
      <c r="AP990" s="11"/>
      <c r="AQ990" s="11"/>
      <c r="AR990" s="11"/>
      <c r="AS990" s="11"/>
      <c r="AT990" s="11"/>
      <c r="AU990" s="11"/>
      <c r="AV990" s="11"/>
      <c r="AW990" s="11"/>
      <c r="AX990" s="11"/>
      <c r="AY990" s="11"/>
      <c r="AZ990" s="11"/>
    </row>
    <row r="991" ht="15.75" customHeight="1">
      <c r="A991" s="12"/>
      <c r="B991" s="13"/>
      <c r="C991" s="14"/>
      <c r="D991" s="15"/>
      <c r="E991" s="15"/>
      <c r="F991" s="15"/>
      <c r="G991" s="15"/>
      <c r="H991" s="15"/>
      <c r="I991" s="15"/>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8"/>
      <c r="AL991" s="9"/>
      <c r="AM991" s="9"/>
      <c r="AN991" s="11"/>
      <c r="AO991" s="11"/>
      <c r="AP991" s="11"/>
      <c r="AQ991" s="11"/>
      <c r="AR991" s="11"/>
      <c r="AS991" s="11"/>
      <c r="AT991" s="11"/>
      <c r="AU991" s="11"/>
      <c r="AV991" s="11"/>
      <c r="AW991" s="11"/>
      <c r="AX991" s="11"/>
      <c r="AY991" s="11"/>
      <c r="AZ991" s="11"/>
    </row>
    <row r="992" ht="15.75" customHeight="1">
      <c r="A992" s="12"/>
      <c r="B992" s="13"/>
      <c r="C992" s="14"/>
      <c r="D992" s="15"/>
      <c r="E992" s="15"/>
      <c r="F992" s="15"/>
      <c r="G992" s="15"/>
      <c r="H992" s="15"/>
      <c r="I992" s="15"/>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8"/>
      <c r="AL992" s="9"/>
      <c r="AM992" s="9"/>
      <c r="AN992" s="11"/>
      <c r="AO992" s="11"/>
      <c r="AP992" s="11"/>
      <c r="AQ992" s="11"/>
      <c r="AR992" s="11"/>
      <c r="AS992" s="11"/>
      <c r="AT992" s="11"/>
      <c r="AU992" s="11"/>
      <c r="AV992" s="11"/>
      <c r="AW992" s="11"/>
      <c r="AX992" s="11"/>
      <c r="AY992" s="11"/>
      <c r="AZ992" s="11"/>
    </row>
    <row r="993" ht="15.75" customHeight="1">
      <c r="A993" s="12"/>
      <c r="B993" s="13"/>
      <c r="C993" s="14"/>
      <c r="D993" s="15"/>
      <c r="E993" s="15"/>
      <c r="F993" s="15"/>
      <c r="G993" s="15"/>
      <c r="H993" s="15"/>
      <c r="I993" s="15"/>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8"/>
      <c r="AL993" s="9"/>
      <c r="AM993" s="9"/>
      <c r="AN993" s="11"/>
      <c r="AO993" s="11"/>
      <c r="AP993" s="11"/>
      <c r="AQ993" s="11"/>
      <c r="AR993" s="11"/>
      <c r="AS993" s="11"/>
      <c r="AT993" s="11"/>
      <c r="AU993" s="11"/>
      <c r="AV993" s="11"/>
      <c r="AW993" s="11"/>
      <c r="AX993" s="11"/>
      <c r="AY993" s="11"/>
      <c r="AZ993" s="11"/>
    </row>
    <row r="994" ht="15.75" customHeight="1">
      <c r="A994" s="12"/>
      <c r="B994" s="13"/>
      <c r="C994" s="14"/>
      <c r="D994" s="15"/>
      <c r="E994" s="15"/>
      <c r="F994" s="15"/>
      <c r="G994" s="15"/>
      <c r="H994" s="15"/>
      <c r="I994" s="15"/>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8"/>
      <c r="AL994" s="9"/>
      <c r="AM994" s="9"/>
      <c r="AN994" s="11"/>
      <c r="AO994" s="11"/>
      <c r="AP994" s="11"/>
      <c r="AQ994" s="11"/>
      <c r="AR994" s="11"/>
      <c r="AS994" s="11"/>
      <c r="AT994" s="11"/>
      <c r="AU994" s="11"/>
      <c r="AV994" s="11"/>
      <c r="AW994" s="11"/>
      <c r="AX994" s="11"/>
      <c r="AY994" s="11"/>
      <c r="AZ994"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2021-05-27T20:46:12Z</dcterms:created>
  <dc:creator>Brian Bill</dc:creator>
</cp:coreProperties>
</file>